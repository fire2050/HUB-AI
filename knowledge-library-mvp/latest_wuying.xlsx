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001-产品文档\907-系统平台-无影云PC\"/>
    </mc:Choice>
  </mc:AlternateContent>
  <xr:revisionPtr revIDLastSave="0" documentId="13_ncr:1_{4220AE32-183B-4026-BFF2-3B5962C86900}" xr6:coauthVersionLast="47" xr6:coauthVersionMax="47" xr10:uidLastSave="{00000000-0000-0000-0000-000000000000}"/>
  <bookViews>
    <workbookView xWindow="-98" yWindow="-98" windowWidth="21795" windowHeight="12975" tabRatio="738" firstSheet="12" activeTab="15" xr2:uid="{00000000-000D-0000-FFFF-FFFF00000000}"/>
  </bookViews>
  <sheets>
    <sheet name="B2-磁盘规格list价格（必选项）" sheetId="7" r:id="rId1"/>
    <sheet name="B3-带宽规格list价格（可选项）" sheetId="8" r:id="rId2"/>
    <sheet name="B4-流量包list价格（可选项）" sheetId="9" r:id="rId3"/>
    <sheet name="B5-AD Connector的list价格（可选项）" sheetId="10" r:id="rId4"/>
    <sheet name="B6-企业网盘list价格（可选项）" sheetId="11" r:id="rId5"/>
    <sheet name="B7-核时包list价格（可选项）" sheetId="12" r:id="rId6"/>
    <sheet name="C0-终端描述汇总" sheetId="13" r:id="rId7"/>
    <sheet name="D1教育办公" sheetId="20" r:id="rId8"/>
    <sheet name="D21国内120小时" sheetId="21" r:id="rId9"/>
    <sheet name="D21国内不限时长-办公1小时休眠" sheetId="45" r:id="rId10"/>
    <sheet name="D22国内图形200小时" sheetId="23" r:id="rId11"/>
    <sheet name="D22国内不限时长(1小时休眠)" sheetId="44" r:id="rId12"/>
    <sheet name="D23国内不限时长" sheetId="25" r:id="rId13"/>
    <sheet name="E贾维斯" sheetId="42" r:id="rId14"/>
    <sheet name="D2-带宽规格list价格（可选项） " sheetId="32" r:id="rId15"/>
    <sheet name="F4-省份列表-商业版" sheetId="38"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3" i="42" l="1"/>
  <c r="M14" i="42"/>
  <c r="M15" i="42"/>
  <c r="M16" i="42"/>
  <c r="M17" i="42"/>
  <c r="M12" i="42"/>
  <c r="K13" i="42"/>
  <c r="K14" i="42"/>
  <c r="K15" i="42"/>
  <c r="K16" i="42"/>
  <c r="K17" i="42"/>
  <c r="K12" i="42"/>
  <c r="M8" i="42"/>
  <c r="K8" i="42"/>
  <c r="M7" i="42"/>
  <c r="K7" i="42"/>
  <c r="M6" i="42"/>
  <c r="K6" i="42"/>
  <c r="M5" i="42"/>
  <c r="K5" i="42"/>
  <c r="M4" i="42"/>
  <c r="K4" i="42"/>
  <c r="M3" i="42"/>
  <c r="K3" i="42"/>
  <c r="I17" i="42"/>
  <c r="G17" i="42"/>
  <c r="F17" i="42"/>
  <c r="I16" i="42"/>
  <c r="G16" i="42"/>
  <c r="F16" i="42"/>
  <c r="I15" i="42"/>
  <c r="G15" i="42"/>
  <c r="F15" i="42"/>
  <c r="I14" i="42"/>
  <c r="G14" i="42"/>
  <c r="F14" i="42"/>
  <c r="I13" i="42"/>
  <c r="G13" i="42"/>
  <c r="F13" i="42"/>
  <c r="I12" i="42"/>
  <c r="G12" i="42"/>
  <c r="F12" i="42"/>
  <c r="G6" i="42"/>
  <c r="G4" i="42"/>
  <c r="I4" i="42"/>
  <c r="G5" i="42"/>
  <c r="I5" i="42"/>
  <c r="I6" i="42"/>
  <c r="G7" i="42"/>
  <c r="I7" i="42"/>
  <c r="G8" i="42"/>
  <c r="I8" i="42"/>
  <c r="I3" i="42"/>
  <c r="G3" i="42"/>
  <c r="F4" i="42"/>
  <c r="F5" i="42"/>
  <c r="F6" i="42"/>
  <c r="F7" i="42"/>
  <c r="F8" i="42"/>
  <c r="F3" i="42"/>
  <c r="E19" i="42"/>
  <c r="O18" i="21"/>
  <c r="O15" i="21"/>
  <c r="O5" i="21"/>
  <c r="O6" i="21"/>
  <c r="O7" i="21"/>
  <c r="O8" i="21"/>
  <c r="O9" i="21"/>
  <c r="O10" i="21"/>
  <c r="O11" i="21"/>
  <c r="O12" i="21"/>
  <c r="O4" i="21"/>
  <c r="G20" i="21" l="1"/>
  <c r="H20" i="21" s="1"/>
  <c r="G16" i="45"/>
  <c r="I16" i="45" s="1"/>
  <c r="G13" i="45"/>
  <c r="I13" i="45" s="1"/>
  <c r="G10" i="45"/>
  <c r="I10" i="45" s="1"/>
  <c r="G7" i="45"/>
  <c r="I7" i="45" s="1"/>
  <c r="G6" i="45"/>
  <c r="H6" i="45" s="1"/>
  <c r="G5" i="45"/>
  <c r="I5" i="45" s="1"/>
  <c r="G4" i="45"/>
  <c r="I4" i="45" s="1"/>
  <c r="G16" i="44"/>
  <c r="I16" i="44" s="1"/>
  <c r="G13" i="44"/>
  <c r="H13" i="44" s="1"/>
  <c r="G10" i="44"/>
  <c r="I10" i="44" s="1"/>
  <c r="G9" i="44"/>
  <c r="I9" i="44" s="1"/>
  <c r="G8" i="44"/>
  <c r="I8" i="44" s="1"/>
  <c r="G7" i="44"/>
  <c r="I7" i="44" s="1"/>
  <c r="I6" i="44"/>
  <c r="L6" i="44" s="1"/>
  <c r="G6" i="44"/>
  <c r="H6" i="44" s="1"/>
  <c r="I5" i="44"/>
  <c r="L5" i="44" s="1"/>
  <c r="H5" i="44"/>
  <c r="G5" i="44"/>
  <c r="G4" i="44"/>
  <c r="I4" i="44" s="1"/>
  <c r="I32" i="25"/>
  <c r="L32" i="25" s="1"/>
  <c r="G32" i="25"/>
  <c r="H32" i="25" s="1"/>
  <c r="L29" i="25"/>
  <c r="K29" i="25"/>
  <c r="J29" i="25"/>
  <c r="L26" i="25"/>
  <c r="K26" i="25"/>
  <c r="J26" i="25"/>
  <c r="L25" i="25"/>
  <c r="K25" i="25"/>
  <c r="J25" i="25"/>
  <c r="L24" i="25"/>
  <c r="K24" i="25"/>
  <c r="J24" i="25"/>
  <c r="L23" i="25"/>
  <c r="K23" i="25"/>
  <c r="J23" i="25"/>
  <c r="L22" i="25"/>
  <c r="K22" i="25"/>
  <c r="J22" i="25"/>
  <c r="L21" i="25"/>
  <c r="K21" i="25"/>
  <c r="J21" i="25"/>
  <c r="L20" i="25"/>
  <c r="K20" i="25"/>
  <c r="J20" i="25"/>
  <c r="L19" i="25"/>
  <c r="K19" i="25"/>
  <c r="J19" i="25"/>
  <c r="L18" i="25"/>
  <c r="K18" i="25"/>
  <c r="J18" i="25"/>
  <c r="L17" i="25"/>
  <c r="K17" i="25"/>
  <c r="J17" i="25"/>
  <c r="L16" i="25"/>
  <c r="K16" i="25"/>
  <c r="J16" i="25"/>
  <c r="L15" i="25"/>
  <c r="K15" i="25"/>
  <c r="J15" i="25"/>
  <c r="L14" i="25"/>
  <c r="K14" i="25"/>
  <c r="J14" i="25"/>
  <c r="L13" i="25"/>
  <c r="K13" i="25"/>
  <c r="J13" i="25"/>
  <c r="L12" i="25"/>
  <c r="K12" i="25"/>
  <c r="J12" i="25"/>
  <c r="L11" i="25"/>
  <c r="K11" i="25"/>
  <c r="J11" i="25"/>
  <c r="L10" i="25"/>
  <c r="K10" i="25"/>
  <c r="J10" i="25"/>
  <c r="L9" i="25"/>
  <c r="K9" i="25"/>
  <c r="J9" i="25"/>
  <c r="L8" i="25"/>
  <c r="K8" i="25"/>
  <c r="J8" i="25"/>
  <c r="L7" i="25"/>
  <c r="K7" i="25"/>
  <c r="J7" i="25"/>
  <c r="L6" i="25"/>
  <c r="K6" i="25"/>
  <c r="J6" i="25"/>
  <c r="L5" i="25"/>
  <c r="K5" i="25"/>
  <c r="J5" i="25"/>
  <c r="L4" i="25"/>
  <c r="K4" i="25"/>
  <c r="J4" i="25"/>
  <c r="G16" i="23"/>
  <c r="I16" i="23" s="1"/>
  <c r="H13" i="23"/>
  <c r="G13" i="23"/>
  <c r="I13" i="23" s="1"/>
  <c r="G10" i="23"/>
  <c r="I10" i="23" s="1"/>
  <c r="G9" i="23"/>
  <c r="I9" i="23" s="1"/>
  <c r="K8" i="23"/>
  <c r="I8" i="23"/>
  <c r="J8" i="23" s="1"/>
  <c r="H8" i="23"/>
  <c r="G8" i="23"/>
  <c r="G7" i="23"/>
  <c r="I7" i="23" s="1"/>
  <c r="I6" i="23"/>
  <c r="J6" i="23" s="1"/>
  <c r="H6" i="23"/>
  <c r="G6" i="23"/>
  <c r="I5" i="23"/>
  <c r="L5" i="23" s="1"/>
  <c r="G5" i="23"/>
  <c r="H5" i="23" s="1"/>
  <c r="J4" i="23"/>
  <c r="I4" i="23"/>
  <c r="L4" i="23" s="1"/>
  <c r="H4" i="23"/>
  <c r="G4" i="23"/>
  <c r="G18" i="21"/>
  <c r="H18" i="21" s="1"/>
  <c r="G15" i="21"/>
  <c r="I15" i="21" s="1"/>
  <c r="G12" i="21"/>
  <c r="I12" i="21" s="1"/>
  <c r="G11" i="21"/>
  <c r="H11" i="21" s="1"/>
  <c r="G10" i="21"/>
  <c r="I10" i="21" s="1"/>
  <c r="G9" i="21"/>
  <c r="I9" i="21" s="1"/>
  <c r="G8" i="21"/>
  <c r="I8" i="21" s="1"/>
  <c r="G7" i="21"/>
  <c r="I7" i="21" s="1"/>
  <c r="L7" i="21" s="1"/>
  <c r="G6" i="21"/>
  <c r="I6" i="21" s="1"/>
  <c r="G5" i="21"/>
  <c r="H5" i="21" s="1"/>
  <c r="G4" i="21"/>
  <c r="I4" i="21" s="1"/>
  <c r="L102" i="20"/>
  <c r="K102" i="20"/>
  <c r="J102" i="20"/>
  <c r="I102" i="20"/>
  <c r="H102" i="20"/>
  <c r="L101" i="20"/>
  <c r="K101" i="20"/>
  <c r="J101" i="20"/>
  <c r="I101" i="20"/>
  <c r="H101" i="20"/>
  <c r="F98" i="20"/>
  <c r="G98" i="20" s="1"/>
  <c r="L95" i="20"/>
  <c r="K95" i="20"/>
  <c r="J95" i="20"/>
  <c r="L92" i="20"/>
  <c r="K92" i="20"/>
  <c r="J92" i="20"/>
  <c r="L91" i="20"/>
  <c r="K91" i="20"/>
  <c r="J91" i="20"/>
  <c r="L90" i="20"/>
  <c r="K90" i="20"/>
  <c r="J90" i="20"/>
  <c r="L89" i="20"/>
  <c r="K89" i="20"/>
  <c r="J89" i="20"/>
  <c r="L88" i="20"/>
  <c r="K88" i="20"/>
  <c r="J88" i="20"/>
  <c r="L87" i="20"/>
  <c r="K87" i="20"/>
  <c r="J87" i="20"/>
  <c r="L86" i="20"/>
  <c r="K86" i="20"/>
  <c r="J86" i="20"/>
  <c r="L85" i="20"/>
  <c r="K85" i="20"/>
  <c r="J85" i="20"/>
  <c r="L84" i="20"/>
  <c r="K84" i="20"/>
  <c r="J84" i="20"/>
  <c r="L83" i="20"/>
  <c r="K83" i="20"/>
  <c r="J83" i="20"/>
  <c r="L82" i="20"/>
  <c r="K82" i="20"/>
  <c r="J82" i="20"/>
  <c r="L81" i="20"/>
  <c r="K81" i="20"/>
  <c r="J81" i="20"/>
  <c r="L80" i="20"/>
  <c r="K80" i="20"/>
  <c r="J80" i="20"/>
  <c r="L79" i="20"/>
  <c r="K79" i="20"/>
  <c r="J79" i="20"/>
  <c r="L78" i="20"/>
  <c r="K78" i="20"/>
  <c r="J78" i="20"/>
  <c r="L77" i="20"/>
  <c r="K77" i="20"/>
  <c r="J77" i="20"/>
  <c r="L76" i="20"/>
  <c r="K76" i="20"/>
  <c r="J76" i="20"/>
  <c r="L75" i="20"/>
  <c r="K75" i="20"/>
  <c r="J75" i="20"/>
  <c r="G72" i="20"/>
  <c r="I72" i="20" s="1"/>
  <c r="L69" i="20"/>
  <c r="K69" i="20"/>
  <c r="J69" i="20"/>
  <c r="L66" i="20"/>
  <c r="K66" i="20"/>
  <c r="J66" i="20"/>
  <c r="L65" i="20"/>
  <c r="K65" i="20"/>
  <c r="J65" i="20"/>
  <c r="L64" i="20"/>
  <c r="K64" i="20"/>
  <c r="J64" i="20"/>
  <c r="L63" i="20"/>
  <c r="K63" i="20"/>
  <c r="J63" i="20"/>
  <c r="L62" i="20"/>
  <c r="K62" i="20"/>
  <c r="J62" i="20"/>
  <c r="L61" i="20"/>
  <c r="K61" i="20"/>
  <c r="J61" i="20"/>
  <c r="L60" i="20"/>
  <c r="K60" i="20"/>
  <c r="J60" i="20"/>
  <c r="L59" i="20"/>
  <c r="K59" i="20"/>
  <c r="J59" i="20"/>
  <c r="L58" i="20"/>
  <c r="K58" i="20"/>
  <c r="J58" i="20"/>
  <c r="L57" i="20"/>
  <c r="K57" i="20"/>
  <c r="J57" i="20"/>
  <c r="L56" i="20"/>
  <c r="K56" i="20"/>
  <c r="J56" i="20"/>
  <c r="L55" i="20"/>
  <c r="K55" i="20"/>
  <c r="J55" i="20"/>
  <c r="L54" i="20"/>
  <c r="K54" i="20"/>
  <c r="J54" i="20"/>
  <c r="L53" i="20"/>
  <c r="K53" i="20"/>
  <c r="J53" i="20"/>
  <c r="L52" i="20"/>
  <c r="K52" i="20"/>
  <c r="J52" i="20"/>
  <c r="G51" i="20"/>
  <c r="K51" i="20" s="1"/>
  <c r="L50" i="20"/>
  <c r="K50" i="20"/>
  <c r="J50" i="20"/>
  <c r="L49" i="20"/>
  <c r="K49" i="20"/>
  <c r="J49" i="20"/>
  <c r="L48" i="20"/>
  <c r="K48" i="20"/>
  <c r="J48" i="20"/>
  <c r="L47" i="20"/>
  <c r="K47" i="20"/>
  <c r="J47" i="20"/>
  <c r="L46" i="20"/>
  <c r="K46" i="20"/>
  <c r="J46" i="20"/>
  <c r="L45" i="20"/>
  <c r="K45" i="20"/>
  <c r="J45" i="20"/>
  <c r="L44" i="20"/>
  <c r="K44" i="20"/>
  <c r="J44" i="20"/>
  <c r="L43" i="20"/>
  <c r="K43" i="20"/>
  <c r="J43" i="20"/>
  <c r="I20" i="21" l="1"/>
  <c r="L20" i="21" s="1"/>
  <c r="K20" i="21"/>
  <c r="J20" i="21"/>
  <c r="I6" i="45"/>
  <c r="L6" i="45" s="1"/>
  <c r="L16" i="45"/>
  <c r="J16" i="45"/>
  <c r="H16" i="45"/>
  <c r="K16" i="45" s="1"/>
  <c r="J5" i="45"/>
  <c r="L5" i="45"/>
  <c r="L4" i="45"/>
  <c r="J4" i="45"/>
  <c r="L7" i="45"/>
  <c r="J7" i="45"/>
  <c r="J10" i="45"/>
  <c r="L10" i="45"/>
  <c r="M10" i="45" s="1"/>
  <c r="K13" i="45"/>
  <c r="J13" i="45"/>
  <c r="L13" i="45"/>
  <c r="M13" i="45" s="1"/>
  <c r="H7" i="45"/>
  <c r="K7" i="45" s="1"/>
  <c r="H4" i="45"/>
  <c r="K4" i="45" s="1"/>
  <c r="H5" i="45"/>
  <c r="K5" i="45" s="1"/>
  <c r="H10" i="45"/>
  <c r="K10" i="45" s="1"/>
  <c r="H13" i="45"/>
  <c r="J6" i="45"/>
  <c r="K6" i="45"/>
  <c r="I11" i="21"/>
  <c r="L11" i="21" s="1"/>
  <c r="L12" i="21"/>
  <c r="H12" i="21"/>
  <c r="K12" i="21" s="1"/>
  <c r="H7" i="21"/>
  <c r="K7" i="21" s="1"/>
  <c r="L16" i="44"/>
  <c r="J16" i="44"/>
  <c r="J4" i="44"/>
  <c r="L4" i="44"/>
  <c r="J9" i="44"/>
  <c r="L9" i="44"/>
  <c r="L10" i="44"/>
  <c r="J10" i="44"/>
  <c r="L7" i="44"/>
  <c r="K7" i="44"/>
  <c r="J7" i="44"/>
  <c r="J8" i="44"/>
  <c r="L8" i="44"/>
  <c r="K6" i="44"/>
  <c r="H8" i="44"/>
  <c r="K8" i="44" s="1"/>
  <c r="H10" i="44"/>
  <c r="K10" i="44" s="1"/>
  <c r="H7" i="44"/>
  <c r="H4" i="44"/>
  <c r="K4" i="44" s="1"/>
  <c r="I13" i="44"/>
  <c r="J5" i="44"/>
  <c r="H16" i="44"/>
  <c r="K16" i="44" s="1"/>
  <c r="J6" i="44"/>
  <c r="K5" i="44"/>
  <c r="H9" i="44"/>
  <c r="K9" i="44" s="1"/>
  <c r="L16" i="23"/>
  <c r="J16" i="23"/>
  <c r="J4" i="21"/>
  <c r="L4" i="21"/>
  <c r="L10" i="23"/>
  <c r="K10" i="23"/>
  <c r="J10" i="23"/>
  <c r="H98" i="20"/>
  <c r="I98" i="20"/>
  <c r="L8" i="21"/>
  <c r="J8" i="21"/>
  <c r="L9" i="21"/>
  <c r="J9" i="21"/>
  <c r="K72" i="20"/>
  <c r="J72" i="20"/>
  <c r="L72" i="20"/>
  <c r="L10" i="21"/>
  <c r="J10" i="21"/>
  <c r="J9" i="23"/>
  <c r="L9" i="23"/>
  <c r="J7" i="23"/>
  <c r="L7" i="23"/>
  <c r="L6" i="21"/>
  <c r="J6" i="21"/>
  <c r="L13" i="23"/>
  <c r="K13" i="23"/>
  <c r="J13" i="23"/>
  <c r="J15" i="21"/>
  <c r="L15" i="21"/>
  <c r="M15" i="21" s="1"/>
  <c r="J5" i="23"/>
  <c r="L8" i="23"/>
  <c r="H16" i="23"/>
  <c r="K16" i="23" s="1"/>
  <c r="J7" i="21"/>
  <c r="K5" i="23"/>
  <c r="I5" i="21"/>
  <c r="I18" i="21"/>
  <c r="H9" i="23"/>
  <c r="K9" i="23" s="1"/>
  <c r="J51" i="20"/>
  <c r="J11" i="21"/>
  <c r="H51" i="20"/>
  <c r="H6" i="21"/>
  <c r="K6" i="21" s="1"/>
  <c r="K6" i="23"/>
  <c r="L6" i="23"/>
  <c r="H10" i="23"/>
  <c r="H8" i="21"/>
  <c r="K8" i="21" s="1"/>
  <c r="J32" i="25"/>
  <c r="I51" i="20"/>
  <c r="L51" i="20" s="1"/>
  <c r="H7" i="23"/>
  <c r="K7" i="23" s="1"/>
  <c r="H9" i="21"/>
  <c r="K9" i="21" s="1"/>
  <c r="J12" i="21"/>
  <c r="K32" i="25"/>
  <c r="K4" i="23"/>
  <c r="H72" i="20"/>
  <c r="H4" i="21"/>
  <c r="K4" i="21" s="1"/>
  <c r="H15" i="21"/>
  <c r="K15" i="21" s="1"/>
  <c r="H10" i="21"/>
  <c r="K10" i="21" s="1"/>
  <c r="K11" i="21" l="1"/>
  <c r="L13" i="44"/>
  <c r="K13" i="44"/>
  <c r="J13" i="44"/>
  <c r="J98" i="20"/>
  <c r="L98" i="20"/>
  <c r="K98" i="20"/>
  <c r="K18" i="21"/>
  <c r="L18" i="21"/>
  <c r="M18" i="21" s="1"/>
  <c r="J18" i="21"/>
  <c r="K5" i="21"/>
  <c r="L5" i="21"/>
  <c r="J5" i="21"/>
</calcChain>
</file>

<file path=xl/sharedStrings.xml><?xml version="1.0" encoding="utf-8"?>
<sst xmlns="http://schemas.openxmlformats.org/spreadsheetml/2006/main" count="936" uniqueCount="351">
  <si>
    <t>一年</t>
  </si>
  <si>
    <t>备注</t>
  </si>
  <si>
    <t>高级教学/办公4核8G内存5M基础带宽</t>
  </si>
  <si>
    <t>高性能磁盘存储</t>
  </si>
  <si>
    <t>高级教学/办公8核16G内存2G显存5M基础带宽</t>
  </si>
  <si>
    <t>无影魔方AS05（推荐）</t>
  </si>
  <si>
    <t>无影网关AL88-60（可选）</t>
  </si>
  <si>
    <t>高级教学/办公4核8G内存120G存储版5M带宽</t>
  </si>
  <si>
    <t>一个月</t>
  </si>
  <si>
    <t>办公型标准型-4核8G内存30M带宽（支持24小时开机）</t>
  </si>
  <si>
    <t>国内增加磁盘（可选）/GiB</t>
  </si>
  <si>
    <t>不配置</t>
  </si>
  <si>
    <t>国内精品带宽（可选）/Mbps</t>
  </si>
  <si>
    <t>计算规格（必选项）</t>
  </si>
  <si>
    <t>返回
索引表</t>
  </si>
  <si>
    <t>vCPU</t>
  </si>
  <si>
    <t>内存(GiB)</t>
  </si>
  <si>
    <t>显存(GiB)</t>
  </si>
  <si>
    <t>目录月价 (元/月/台)</t>
  </si>
  <si>
    <t>-</t>
  </si>
  <si>
    <t>磁盘规格（必选项）</t>
  </si>
  <si>
    <t>存储规格</t>
  </si>
  <si>
    <t>目录月价 (元/月/GiB)</t>
  </si>
  <si>
    <t>目录小时价 (元/小时/GiB)</t>
  </si>
  <si>
    <t>报价条件</t>
  </si>
  <si>
    <t>SSD极速磁盘</t>
  </si>
  <si>
    <t>一般就选这个</t>
  </si>
  <si>
    <t>ESSD云盘 PL0</t>
  </si>
  <si>
    <t>ESSD云盘 PL1</t>
  </si>
  <si>
    <t>ESSD云盘 PL2</t>
  </si>
  <si>
    <t>ESSD云盘 PL3</t>
  </si>
  <si>
    <t>公网精品带宽规格（非必选项）</t>
  </si>
  <si>
    <t>基础带宽，5Mbps免费</t>
  </si>
  <si>
    <t>5Mbps</t>
  </si>
  <si>
    <t>元/月</t>
  </si>
  <si>
    <t>月数/月</t>
  </si>
  <si>
    <t>精品带宽，按固定带宽计费</t>
  </si>
  <si>
    <t>每 1Mbps</t>
  </si>
  <si>
    <t>元/Mbps/月</t>
  </si>
  <si>
    <t>带宽大小/Mbps</t>
  </si>
  <si>
    <t>精品带宽按量，按使用流量计费</t>
  </si>
  <si>
    <t>1GiB</t>
  </si>
  <si>
    <t>元/GiB</t>
  </si>
  <si>
    <t>流量额/GiB</t>
  </si>
  <si>
    <t>精品带宽按量，按固定带宽计费</t>
  </si>
  <si>
    <t>元/小时</t>
  </si>
  <si>
    <t>小时数/h</t>
  </si>
  <si>
    <t>1个月流量包500GiB</t>
  </si>
  <si>
    <t>元/个流量包</t>
  </si>
  <si>
    <t>流量包个数/个</t>
  </si>
  <si>
    <t>1个月流量包1000GiB</t>
  </si>
  <si>
    <t>3个月有效期流量包30GiB</t>
  </si>
  <si>
    <t>3个月有效期流量包150GiB</t>
  </si>
  <si>
    <t>3个月有效期流量包300GiB</t>
  </si>
  <si>
    <t>3个月有效期流量包1500GiB</t>
  </si>
  <si>
    <t>3个月有效期流量包3000GiB</t>
  </si>
  <si>
    <t>6个月有效期流量包60GiB</t>
  </si>
  <si>
    <t>6个月有效期流量包300GiB</t>
  </si>
  <si>
    <t>6个月有效期流量包600GiB</t>
  </si>
  <si>
    <t>6个月有效期流量包3000GiB</t>
  </si>
  <si>
    <t>6个月有效期流量包6000GiB</t>
  </si>
  <si>
    <t>12个月有效期流量包120GiB</t>
  </si>
  <si>
    <t>12个月有效期流量包600GiB</t>
  </si>
  <si>
    <t>12个月有效期流量包1200GiB</t>
  </si>
  <si>
    <t>12个月有效期流量包6000GiB</t>
  </si>
  <si>
    <t>12个月有效期流量包12000GiB</t>
  </si>
  <si>
    <t>流量包有效期： 1个月</t>
  </si>
  <si>
    <t>流量包规格</t>
  </si>
  <si>
    <t>10GiB</t>
  </si>
  <si>
    <t>50GiB</t>
  </si>
  <si>
    <t>100GiB</t>
  </si>
  <si>
    <t>500GiB</t>
  </si>
  <si>
    <t>1000GiB</t>
  </si>
  <si>
    <t>价格（元）</t>
  </si>
  <si>
    <t>流量包有效期： 3个月</t>
  </si>
  <si>
    <t>30GiB</t>
  </si>
  <si>
    <t>150GiB</t>
  </si>
  <si>
    <t>300GiB</t>
  </si>
  <si>
    <t>1500GiB</t>
  </si>
  <si>
    <t>3000GiB</t>
  </si>
  <si>
    <t>流量包有效期： 6个月</t>
  </si>
  <si>
    <t>60GiB</t>
  </si>
  <si>
    <t>600GiB</t>
  </si>
  <si>
    <t>6000GiB</t>
  </si>
  <si>
    <t>流量包有效期： 12个月</t>
  </si>
  <si>
    <t>120GiB</t>
  </si>
  <si>
    <t>1200GiB</t>
  </si>
  <si>
    <t>12000GiB</t>
  </si>
  <si>
    <t>规格</t>
  </si>
  <si>
    <t>目录小时价 (元/小时)</t>
  </si>
  <si>
    <t>通用型</t>
  </si>
  <si>
    <t>无影云电脑用户在以下情况下需要考虑AD Connector的费用：
1. 对接企业AD环境：当你需要将无影云电脑与企业内部的Active Directory（AD）集成，以便利用企业现有的身份验证、授权和组策略管理时，就需要创建AD办公网络并使用AD Connector服务。这种情况下，因为AD Connector提供了与企业AD之间的桥梁，所以会产生相应的费用。
2. 创建AD办公网络：在无影云电脑控制台上创建基于企业AD账号的办公网络时，系统会自动部署AD Connector来实现与企业AD的对接。从AD办公网络创建成功的那一刻起，直到该网络被销毁，这段时间内AD Connector将持续计费。
3. 持续使用AD集成：只要AD办公网络存在并处于活跃状态，AD Connector的费用就会持续产生。计费时长按照实际使用时间（从创建成功到销毁成功的时间）乘以AD Connector的单价来计算。
4. 管理AD用户和资源：在使用AD Connector期间，你能够通过企业AD管理无影云电脑上的用户账户、权限分配以及资源访问控制。此过程中的每一天使用都会累积计费。
5. 停止计费：如果你不再需要AD集成，可以通过删除AD办公网络来停止AD Connector的计费。一旦办公网络被销毁，相关的费用也将停止计算。
因此，当你决定在无影云电脑中实施企业AD集成，以实现更高级别的身份管理和资源控制时，就需要考虑并规划好AD Connector的费用预算。具体费用会根据所选的AD Connector规格和实际使用时长有所不同，建议参考最新的AD Connector价格表进行精确计算。</t>
  </si>
  <si>
    <t>高级型</t>
  </si>
  <si>
    <t>企业网盘（原无影云盘）价格</t>
  </si>
  <si>
    <t>支持按量付费和预付费两种方式，两种付费方式购买后不可互相转化。</t>
  </si>
  <si>
    <t>1、按量付费：￥0.005 /天/GiB</t>
  </si>
  <si>
    <t>● 服务开通后，系统根据已开通企业网盘内所有已授权的个人空间和团队空间当前存储使用总量计费（可在控制台 网络与存储&gt;企业网盘内查询该数值）。</t>
  </si>
  <si>
    <t>● 企业网盘按天（自然日）出账。出账时，按当日存储使用总量最大值计算（系统每10分钟自动获取一次当前存储使用量，取当天最大值）。即，当日存储使用总量最大值*单价0.005元/天/GiB = 企业网盘当日出账金额。</t>
  </si>
  <si>
    <t>2、预付费：</t>
  </si>
  <si>
    <t>● 与企业网盘授权用户人数与存储空间规格有关，按以下套餐进行划分</t>
  </si>
  <si>
    <t>用户人数/存储空间</t>
  </si>
  <si>
    <t>套餐价格（元/年）</t>
  </si>
  <si>
    <t>500GB，最多5人共用，每人可多台云电脑共用</t>
  </si>
  <si>
    <t>2TB，最多20人共用，每人可多台云电脑共用</t>
  </si>
  <si>
    <t>5TB，最多50人共用，每人可多台云电脑共用</t>
  </si>
  <si>
    <t>10TB，最多100人共用，每人可多台云电脑共用</t>
  </si>
  <si>
    <t>20TB，最多200人共用，每人可多台云电脑共用</t>
  </si>
  <si>
    <t>30TB，最多300人共用，每人可多台云电脑共用</t>
  </si>
  <si>
    <t>核时包总价表（单位：元）</t>
  </si>
  <si>
    <t>核时包梯度</t>
  </si>
  <si>
    <t>有效期（月）</t>
  </si>
  <si>
    <t>无影核时包梯度：</t>
  </si>
  <si>
    <t>折扣梯度表</t>
  </si>
  <si>
    <r>
      <rPr>
        <sz val="14"/>
        <color rgb="FF000000"/>
        <rFont val="微软雅黑"/>
        <family val="2"/>
        <charset val="134"/>
      </rPr>
      <t xml:space="preserve">在使用无影云电脑企业版时，考虑报核时包价格的情况主要包括以下几点：
</t>
    </r>
    <r>
      <rPr>
        <b/>
        <sz val="14"/>
        <color rgb="FFFF0000"/>
        <rFont val="微软雅黑"/>
        <family val="2"/>
        <charset val="134"/>
      </rPr>
      <t>1. 长期稳定使用</t>
    </r>
    <r>
      <rPr>
        <sz val="14"/>
        <color rgb="FF000000"/>
        <rFont val="微软雅黑"/>
        <family val="2"/>
        <charset val="134"/>
      </rPr>
      <t xml:space="preserve">：如果你预计云电脑将在较长一段时间内持续使用，并且使用时长和频次相对稳定，购买核时包可以享受预付费带来的折扣优惠，相较于按需付费模式，有助于降低整体成本。
</t>
    </r>
    <r>
      <rPr>
        <b/>
        <sz val="14"/>
        <color rgb="FFFF0000"/>
        <rFont val="微软雅黑"/>
        <family val="2"/>
        <charset val="134"/>
      </rPr>
      <t>2. 多云电脑部署</t>
    </r>
    <r>
      <rPr>
        <sz val="14"/>
        <color rgb="FF000000"/>
        <rFont val="微软雅黑"/>
        <family val="2"/>
        <charset val="134"/>
      </rPr>
      <t xml:space="preserve">：当企业内部有多台云电脑部署，且这些云电脑的使用模式相似，购买核时包可以统一管理这些云电脑的计算资源费用，通过批量购买和共享使用，实现成本优化。
</t>
    </r>
    <r>
      <rPr>
        <b/>
        <sz val="14"/>
        <color rgb="FFFF0000"/>
        <rFont val="微软雅黑"/>
        <family val="2"/>
        <charset val="134"/>
      </rPr>
      <t>3. 跨地域抵扣需求</t>
    </r>
    <r>
      <rPr>
        <sz val="14"/>
        <color rgb="FF000000"/>
        <rFont val="微软雅黑"/>
        <family val="2"/>
        <charset val="134"/>
      </rPr>
      <t xml:space="preserve">：如果你的云电脑部署在不同的中国内地地域，并且希望灵活地在这些地域间抵扣计算资源费用，核时包支持跨地域抵扣的特点可以满足这一需求，简化费用管理。
</t>
    </r>
    <r>
      <rPr>
        <b/>
        <sz val="14"/>
        <color rgb="FFFF0000"/>
        <rFont val="微软雅黑"/>
        <family val="2"/>
        <charset val="134"/>
      </rPr>
      <t>4. 成本预算与控制</t>
    </r>
    <r>
      <rPr>
        <sz val="14"/>
        <color rgb="FF000000"/>
        <rFont val="微软雅黑"/>
        <family val="2"/>
        <charset val="134"/>
      </rPr>
      <t xml:space="preserve">：核时包的购买可以帮助企业提前锁定成本，便于财务预算的制定和控制。通过预估未来一段时间内的使用量，选择合适档位和有效期的核时包，可以更好地规划资金流。
</t>
    </r>
    <r>
      <rPr>
        <b/>
        <sz val="14"/>
        <color rgb="FFFF0000"/>
        <rFont val="微软雅黑"/>
        <family val="2"/>
        <charset val="134"/>
      </rPr>
      <t>5. 抵扣规则匹配</t>
    </r>
    <r>
      <rPr>
        <sz val="14"/>
        <color rgb="FF000000"/>
        <rFont val="微软雅黑"/>
        <family val="2"/>
        <charset val="134"/>
      </rPr>
      <t xml:space="preserve">：如果你的云电脑规格符合核时包的适用范围（如企业办公型- 2vCPU/4GiB内存、4vCPU/8GiB内存、8vCPU/16GiB内存等），并且希望通过核时包抵扣计算资源费用，了解并计算核时包的抵扣效益是必要的，这将直接影响到是否选择购买以及购买何种规格的核时包。
</t>
    </r>
    <r>
      <rPr>
        <b/>
        <sz val="14"/>
        <color rgb="FFFF0000"/>
        <rFont val="微软雅黑"/>
        <family val="2"/>
        <charset val="134"/>
      </rPr>
      <t>6. 现有用量分析</t>
    </r>
    <r>
      <rPr>
        <sz val="14"/>
        <color rgb="FF000000"/>
        <rFont val="微软雅黑"/>
        <family val="2"/>
        <charset val="134"/>
      </rPr>
      <t>：在决定购买前，可以查看当前云电脑的使用情况，包括连接时长、vCPU数量等，以估算所需核时包的数量和抵扣系数，确保购买的核时包能够有效覆盖并优化成本。
综上所述，当企业有长期、稳定、多地域的云电脑使用需求，且希望通过预付费形式优化成本时，就需要考虑核时包的价格，并根据实际使用情况选择合适的购买策略。</t>
    </r>
  </si>
  <si>
    <t>序号</t>
  </si>
  <si>
    <t>终端规格</t>
  </si>
  <si>
    <t>参数</t>
  </si>
  <si>
    <t>刊例价</t>
  </si>
  <si>
    <t>终端型号：AS05-2DCXG
CPU：4核 ARM Cortex-A53
内存：2GB DDR4
存储：8GB eMMC
有线网络：100M 以太网网口
无线网络：802.11a/b/g/n/ac Wi-Fi 2.4G/5G 双频
蓝牙：Bluetooth 5.0
USB 接口:3 x USB type-A 2.0
视频接口：1 x HDMI OUT (最高支持 2560*1400&amp;60FPS)
音频输出：支持 Φ3.5mm LRGM四段式接口耳麦
防盗锁孔：支持标准防盗锁
盒内配件：1 x 电源适配器，直流5V2A；1 x 电源线，长1米；1 x HDMI2.0 视频线，长1米</t>
  </si>
  <si>
    <t>终端型号：AS06-2BHXG
处理器规格：Arm，4*A55@2.0GHZ
内存：4GB
EMMC：16GB
Wi-Fi+蓝牙：802.11a/b/g/n/ac  Wi-Fi Dual-band 2X2 BLE 5.0
有线网络：1000M以太网网口
USB接口：8x USB Type-A（1*USB3.0，7*USB2.0）
音频接口：支持Φ3.5mmLRGM四段式接口耳麦
视频接口：2*HDMI（OUT）（单HDMI最高支持3840*2160，双HDMI最高支持2560×1600+1920*1080P）
电源接口：Typec接口，20VDC
盒内配件：电源适配器(45W)*1，HDMI视频线*1</t>
  </si>
  <si>
    <t>无影魔方Ultra-AX01</t>
  </si>
  <si>
    <t>无影魔方Ultra
产品型号：AX01-4DGXG
内存：4GB DDR4
存储：64GB EMMC
智慧小屏：分辨率480*120，支持防指纹涂层
机身颜色：金属灰
机身材质：PC+ABS
接口&amp;功能
USB接口：USB 3.0 Type A*2、USB 2.0 Type A*3
Type C接口:USB 3.1 Type C*1，支持数据传输
音频接口:Φ3.5mm耳麦接口(LRGM线序四段式)*1
蜂鸣器：蜂鸣器*1
视频接口：HDMI 2.0 Out*2，每路HDMI最高支持4K（3840*2160）
NFC[功能内测中]：NFC感应模块*1，支持手机移动端无影app通过”碰一碰“的方式快捷登录无影云电脑
RTC：RTC电池时钟*1
自定义功能键：无影自定义功能按键*1（可在系统设置配置具体功能）
网络&amp;连接：WiFi：WIFI6 802.11ax/ac/a/b/g/n 2T2R*1；蓝牙：BT 5.2*1；Eth（千兆以太网）：千兆以太网口*1
电源：电源接口：DC接口
适配器规格：12V*3A DC电源适配器*1
安全：防盗锁孔：防盗锁孔*1
整机：彩盒包装清单：整机*1、HDMI线*1、DC电源适配器*1、说明书*1</t>
  </si>
  <si>
    <t>硬件终端一体机US01</t>
  </si>
  <si>
    <t>终端型号：US01-2BFXG
面板：23.8寸 1920*1080@60Hz VA屏
CPU：4核 ARM Cortex-A55
内存：2GB DDR4
存储：16GB eMMC
有线网络：100M 以太网网口
无线网络：802.11a/b/g/n/ac Wi-Fi 2.4G/5G 双频
蓝牙：Bluetooth 5.0
视频接口：1 x HDMI OUT 2.0 （ 2560*1440&amp;60FPS ）；1 x HDMI IN
扬声器：多声道立体声扬声器（2Wx2）
音频输出：支持 Φ3.5mmLRGM四段式接口耳麦
USB 接口：1 x USB type-C 3.0；2 x USB type-A 3.0；2 x USB type-A 2.0
电源适配器：65W 20V；Input AC 100-240V；Output DC 20V 3.25A</t>
  </si>
  <si>
    <t>硬件终端一体机US05（推荐）</t>
  </si>
  <si>
    <t>处理器规格：Arm，4*A55@2.0GHZ
内存：2GB DDR4
EMMC：32GB eMMC
屏幕：21.5寸 1920*1080@60Hz
Wi-Fi+蓝牙：802.11a/b/g/n/ac  双频WIFI 2.4G/5G 2T2R、BLE 5.0
有线网络：10M/100M/1000M自适应网卡，RJ45接口
USB接口：USB3.0接口*1
USB2.0接口*5
音频：Φ3.5mm三段式耳机孔、多声道立体声扬声器（2W 8Ω *2）
视频接口：HDMI OUT*1
摄像头：100w摄像头*1
电源接口：12V-3A DC
配件：电源适配器(36w)*1
机壳材质：塑壳+金属底座
产品尺寸：573*191*472mm（含包装）
产品重量：6.10Kg（含包装）</t>
  </si>
  <si>
    <t>无影方舟笔记本Pro-NS01</t>
  </si>
  <si>
    <t>处理器
Jasper Lake 4 核/集成显卡
内存：4GB
屏幕：2880*1800 LTPS屏幕；3A玻璃盖板（AR/AF/AG）
网络：WIFI6，4G
摄像头：100万IR摄像头
触控板：135*78mm 全域ForcePad
键盘：16mm键帽/12mm行程/三涂工艺静音键盘，支持背光
安全芯片：TPM安全芯片
电池：58WH电池，支持快充
接口：左侧：1* USB Typec（USB3.2 Gen1/DP/PD Charger）/1* USB Typec（USB3.2 Gen/PD Charger）/1*SIM Nano；右侧：1*3.5mm Head Phone /2*USB typeA（USB 3.2 Gen 1)
尺寸重量：14英寸/1.38KG/13.9mm
配件：65WH适配器</t>
  </si>
  <si>
    <t>无影方舟笔记本-NE01（推荐）</t>
  </si>
  <si>
    <t>机身材质：A/C/D面金属
终端型号：VNR210-W
面板：14寸 LCD， 1920*1200，16:10
CPU：RK3568，4核ARM Cortex-A55
内存：4GB
存储：32GB
无线网络：802.11a/b/g/n/ac Wi-Fi 2.4G/5G 双频
蓝牙：Bluetooth 5.0
视频接口：HDMI OUT*1，最高支持2K分辨率及60FPS帧率
摄像头：200万普通摄像头
Mic&amp;扬声器：支持，数量各两个；
音频接口：支持耳机/麦克风口（二合一）
USB接口：USB-A 3.0*1、USB-A 2.0*1、Type-C 2.0 *1（不支持DP）、Type-C 3.0 *1（不支持DP&amp;PD）
键盘：剪刀脚全尺寸键盘，美式86键位，1.3mm行程；支持Power/No.lock/MIC/CapsLK键带状态指示灯
触控板：三键机械触控，117*67mm
电池：7.6V 5000mAh
电源适配器：12V 2.5A
其他：防盗锁孔*1
保修3年
认证CCC认证、SRRC认证、ROHS声明
尺寸重量 整机（不含包装）315mm*222mm*14.5mm 1.30kg
尺寸重量 整机（含包装）326mm*233mm*63mm 1.96kg</t>
  </si>
  <si>
    <t>XC01信创终端</t>
  </si>
  <si>
    <t>型号（厂商认证型号）：C73-G2
处理器：兆芯KX-6640MA，四核 2.1GHz
内存：4GB DDR4
存储：64GB SSD，可选配128GB
正面端口：2 × USB 2.0,2 × USB 3.0、1 × Type-C、1 × 四段式音频口
背面端口：1 × 千兆RJ-45网口（可选2个）、2 × USB 2.0，2 × USB 3.0
、2 × PS/2、1 × HDMI、1 × VGA
电源：19V/3.42A DC电源
尺寸：206mmx48mmx215mm
工作环境：温度：0℃－40℃
湿度：30%－90%（无凝结）</t>
  </si>
  <si>
    <t>AXC01信创终端</t>
  </si>
  <si>
    <t>产品认证型号：G210
处理器：盘古 M900 @2.0GHz 八核
内存：4GB DDR4
存储：64GB eMMC
端口：4个 USB3.0、4个 USB2.0、1个 Type-C/1个 四段式音频口
网络：1个 千兆RJ-45网口、无线网络 Wi-Fi 5（2T2R） + BT5.0 （选配）
显示：2个 HDMI口
电源：12V/4A
工作环境：
温度：0℃－40℃ 
湿度：10%－90%（无凝结）
可选系统：Kylin嵌入式
整机尺寸：130mmx35mmx162.3mmm
整机体积：0.8L</t>
  </si>
  <si>
    <t>不需要网关</t>
  </si>
  <si>
    <t>没有本地扫描仪、视频监控等本地IP对接需求</t>
  </si>
  <si>
    <t>多业务融合：爱快在高性能硬件平台上集成了包括DPI流控、负载均衡、网关、AC、认证服务器等功能，将传统组网模式整合并做简化，等同于将多台设备以及统一网管平台整合到一台设备，大幅降低了企业组网和维护成本；同时，传统组网中很多设备都采用串联组网方式，爱快融合网关很大程度上避免了单点性能瓶颈而降低整网性能。
基于DPI 流量分析/控制：全新一代基于DPI的流量识别机制，全面提升7层应用协议识别速度和准确性，实现从终端到流量的可视化管理，数据全面直观呈现，更加精细化的流量管控配合多线接入、多拨技术、链路均衡和应用分流等功能结合，加之不间断更新的3200款以上DPI特征库，将核心应用分流至优质光纤，将下载、视频等应用分流至低价的ADSL宽带，降低80%以上的带宽成本。
支持多种企业级VPN：支持 IPsec、PPTP、L2TP 及 Open VPN 服务器与客户端功能，支持远程随时访问局 域网 NAS、内部服务器等设备，节省网络组建成本，同时支持点对网和网对网 VPN 安全互 联。
多种网络准入方式：支持多达10种上网准入方案，提供多种认证模板及自定义认证模板，同时支持自定义及第三方认证上网系统对接，为客户提供灵活的上网准入服务，为各行业客户提供个性化、定制化的网络准入解决方案。
多种企业级安全机制：网关内置高效的行为管理及防火墙模块，保证客户网络安全，支持灵活的访问控制策略，可以满足不同规模及不同需求客户的网络安全需求；针对公共上网场景，爱快网关符合公安审计要求，适用与各类公共网络环境，支持对接地区网监平台。</t>
  </si>
  <si>
    <t>无影网关AL88-200（可选）</t>
  </si>
  <si>
    <t>无影网关AL88-300（可选）</t>
  </si>
  <si>
    <t>无影网关AL88-400（可选）</t>
  </si>
  <si>
    <t>计算规格名称（教育版400小时时长包）</t>
  </si>
  <si>
    <t>磁盘(GiB)</t>
  </si>
  <si>
    <t>目录月价 (元/400小时)</t>
  </si>
  <si>
    <t>二年</t>
  </si>
  <si>
    <t>三年</t>
  </si>
  <si>
    <t>四年</t>
  </si>
  <si>
    <t>五年</t>
  </si>
  <si>
    <t>六年</t>
  </si>
  <si>
    <t>高级教学/办公6核12G内存5M基础带宽</t>
  </si>
  <si>
    <t>高级教学/办公8核16G内存5M基础带宽</t>
  </si>
  <si>
    <t>高级教学/办公4核8G内存2G显存5M基础带宽</t>
  </si>
  <si>
    <t>高级教学/办公6核12G内存2G显存5M基础带宽</t>
  </si>
  <si>
    <t>高级教学/办公8核16G内存4G显存5M基础带宽</t>
  </si>
  <si>
    <t>高级教学/办公16核32G内存8G显存5M基础带宽</t>
  </si>
  <si>
    <t>高级教学/办公16核32G内存12G显存5M基础带宽</t>
  </si>
  <si>
    <t>高级教学/办公32核64G内存12G显存5M基础带宽</t>
  </si>
  <si>
    <t>高级教学/办公32核64G内存16G显存5M基础带宽</t>
  </si>
  <si>
    <t>高级教学/办公32核64G内存24G显存5M基础带宽</t>
  </si>
  <si>
    <t>高级教学/办公64核128G内存24G显存5M基础带宽</t>
  </si>
  <si>
    <t>计算规格名称（教育版100小时时长包）</t>
  </si>
  <si>
    <t>目录月价 (元/100小时)</t>
  </si>
  <si>
    <t>高级教育/办公存储规格名称</t>
  </si>
  <si>
    <t>目录月价 (元/100GB磁盘)</t>
  </si>
  <si>
    <t>国内region计算规格名称</t>
  </si>
  <si>
    <t>高级教学/办公4核8G内存240G存储版5M带宽</t>
  </si>
  <si>
    <t>高级教学/办公4核8G内存480G存储版5M带宽</t>
  </si>
  <si>
    <t>高级教学/办公8核16G内存120G存储版5M带宽</t>
  </si>
  <si>
    <t>高级教学/办公8核16G内存240G存储版5M带宽</t>
  </si>
  <si>
    <t>高级教学/办公8核16G内存480G存储版5M带宽</t>
  </si>
  <si>
    <t>办公型标准型-4核8G内存160G磁盘30M带宽</t>
  </si>
  <si>
    <t>办公型标准型Pro-4核8G内存320G磁盘30M带宽</t>
  </si>
  <si>
    <t>办公型增强型Pro-6核12G内存160G磁盘30M带宽</t>
  </si>
  <si>
    <t>办公型增强型Pro-6核12G内存240G磁盘30M带宽</t>
  </si>
  <si>
    <t>办公型高级型-8核16G内存240G磁盘30M带宽</t>
  </si>
  <si>
    <t>办公型高级型Pro-8核16G内存480G磁盘30M带宽</t>
  </si>
  <si>
    <t>图形型-4核10G内存2G显存(T4)480G磁盘30M带宽</t>
  </si>
  <si>
    <t>图形型-8核16G内存4G显存(T4)480G磁盘30M带宽</t>
  </si>
  <si>
    <t>图形型-12核46G内存11G显存(2080Ti)1000G磁盘30M带宽</t>
  </si>
  <si>
    <t>图形型Pro-4核8G内存2G显存(5880)320G磁盘30M带宽</t>
  </si>
  <si>
    <t>图形型Pro-6核12G内存2G显存(5880)320G磁盘30M带宽</t>
  </si>
  <si>
    <t>图形型Pro-8核16G内存2G显存(5880)320G磁盘30M带宽</t>
  </si>
  <si>
    <t>图形型Pro-8核16G内存4G显存(5880)480G磁盘30M带宽</t>
  </si>
  <si>
    <t>图形型Pro-16核32G内存8G显存(5880)600G磁盘30M带宽</t>
  </si>
  <si>
    <t>图形型Pro-16核32G内存12G显存(5880)600G磁盘30M带宽</t>
  </si>
  <si>
    <t>图形型Pro-32核64G内存12G显存(5880)1000G磁盘30M带宽</t>
  </si>
  <si>
    <t>图形型Pro-32核64G内存16G显存(5880)1000G磁盘30M带宽</t>
  </si>
  <si>
    <t>图形型Pro-32核64G内存24G显存(5880)1000G磁盘30M带宽</t>
  </si>
  <si>
    <t>图形型Pro-64核128G内存24G显存(5880)1000G磁盘30M带宽</t>
  </si>
  <si>
    <t>图形型Pro-32核64G内存48G显存(5880)1000G磁盘30M带宽</t>
  </si>
  <si>
    <t>图形型Pro-64核128G内存48G显存(5880)1000G磁盘30M带宽</t>
  </si>
  <si>
    <t>图形型Pro-64核256G内存48G显存(5880)1000G磁盘30M带宽</t>
  </si>
  <si>
    <t>图形型Pro-64核256G内存96G显存(5880)1000G磁盘30M带宽</t>
  </si>
  <si>
    <t>图形型Pro-96核384G内存192G显存(5880)1000G磁盘30M带宽</t>
  </si>
  <si>
    <t>国内region存储规格名称</t>
  </si>
  <si>
    <t>国内region精品带宽规格名称</t>
  </si>
  <si>
    <t>带宽(Mbps)</t>
  </si>
  <si>
    <t>目录月价 (元/1Mbps)</t>
  </si>
  <si>
    <t>海外region计算规格名称</t>
  </si>
  <si>
    <t>海外办公型标准型 4C8G 160G 不含带宽</t>
  </si>
  <si>
    <t>海外海外办公型增强型 6C12G 160G不含带宽</t>
  </si>
  <si>
    <t>海外海外办公型高级型 8C16G 240G不含带宽</t>
  </si>
  <si>
    <t>海外图形型Pro-4C8G2G显存320G不含带宽</t>
  </si>
  <si>
    <t>海外图形型Pro-6C12G2G显存320G不含带宽</t>
  </si>
  <si>
    <t>海外图形型Pro-8C16G2G显存320G不含带宽</t>
  </si>
  <si>
    <t>海外图形型Pro-8C16G4G显存480G不含带宽</t>
  </si>
  <si>
    <t>海外图形型Pro-16C32G8G显存600G不含带宽</t>
  </si>
  <si>
    <t>海外图形型Pro-16核32G内存12G显存600G不含带宽</t>
  </si>
  <si>
    <t>海外图形型Pro-32核64G内存12G显存600G不含带宽</t>
  </si>
  <si>
    <t>海外图形型Pro-32C64G16G显存1000G不含带宽</t>
  </si>
  <si>
    <t>海外图形型Pro-32核64G内存24G显存1000G不含带宽</t>
  </si>
  <si>
    <t>海外图形型Pro-64核128G内存24G显存1000G不含带宽</t>
  </si>
  <si>
    <t>海外图形型Pro-32核64G内存48G显存1000G不含带宽</t>
  </si>
  <si>
    <t>海外图形型Pro-64核128G内存48G显存1000G不含带宽</t>
  </si>
  <si>
    <t>海外图形型Pro-64核256G内存48G显存1000G不含带宽</t>
  </si>
  <si>
    <t>海外图形型Pro-64核256G内存96G显存1000G不含带宽</t>
  </si>
  <si>
    <t>海外图形型Pro-96核384G内存192G显存1000G不含带宽</t>
  </si>
  <si>
    <t>海外region存储规格名称</t>
  </si>
  <si>
    <t>海外增加磁盘（可选）/GiB</t>
  </si>
  <si>
    <t>海外region精品带宽规格名称</t>
  </si>
  <si>
    <t>目录月价 (元/5Mbps)</t>
  </si>
  <si>
    <t>海外精品带宽（必选）/Mbps</t>
  </si>
  <si>
    <t>计算规格名称（教育版不限时长）</t>
  </si>
  <si>
    <t>目录月价 (元/不限时长)</t>
  </si>
  <si>
    <r>
      <rPr>
        <sz val="11"/>
        <color rgb="FF000000"/>
        <rFont val="微软雅黑"/>
        <family val="2"/>
        <charset val="134"/>
      </rPr>
      <t>办公型增强型-6核12G内存30M带宽（支持</t>
    </r>
    <r>
      <rPr>
        <sz val="11"/>
        <color rgb="FF000000"/>
        <rFont val="微软雅黑"/>
        <family val="2"/>
        <charset val="134"/>
      </rPr>
      <t>24</t>
    </r>
    <r>
      <rPr>
        <sz val="11"/>
        <color rgb="FF000000"/>
        <rFont val="微软雅黑"/>
        <family val="2"/>
        <charset val="134"/>
      </rPr>
      <t>小时开机）</t>
    </r>
  </si>
  <si>
    <r>
      <rPr>
        <sz val="11"/>
        <color rgb="FF000000"/>
        <rFont val="微软雅黑"/>
        <family val="2"/>
        <charset val="134"/>
      </rPr>
      <t>办公型高级型-8核16G内存30M带宽（支持</t>
    </r>
    <r>
      <rPr>
        <sz val="11"/>
        <color rgb="FF000000"/>
        <rFont val="微软雅黑"/>
        <family val="2"/>
        <charset val="134"/>
      </rPr>
      <t>24</t>
    </r>
    <r>
      <rPr>
        <sz val="11"/>
        <color rgb="FF000000"/>
        <rFont val="微软雅黑"/>
        <family val="2"/>
        <charset val="134"/>
      </rPr>
      <t>小时开机）</t>
    </r>
  </si>
  <si>
    <t>图形型-4核8G内存2G显存(5880)30M带宽（支持24小时开机）</t>
  </si>
  <si>
    <t>图形型-6核12G内存2G显存(5880)30M带宽（支持24小时开机）</t>
  </si>
  <si>
    <t>图形型-8核16G内存2G显存(5880)30M带宽（支持24小时开机）</t>
  </si>
  <si>
    <t>图形型-8核16G内存4G显存(5880)30M带宽（支持24小时开机）</t>
  </si>
  <si>
    <t>图形型-16核32G内存8G显存(5880)30M带宽（支持24小时开机）</t>
  </si>
  <si>
    <t>图形型-16核32G内存12G显存(5880)30M带宽（支持24小时开机）</t>
  </si>
  <si>
    <t>图形型-32核64G内存12G显存(5880)30M带宽（支持24小时开机）</t>
  </si>
  <si>
    <t>图形型-32核64G内存48G显存(5880)30M带宽（支持24小时开机）</t>
  </si>
  <si>
    <t>办公型增强型-6核12G内存30M带宽（支持24小时开机）</t>
  </si>
  <si>
    <t>办公型高级型-8核16G内存30M带宽（支持24小时开机）</t>
  </si>
  <si>
    <t>办公型旗舰型-16核32G内存30M带宽（支持24小时开机）</t>
  </si>
  <si>
    <t>图形型-32核64G内存16G显存(5880)30M带宽（支持24小时开机）</t>
  </si>
  <si>
    <t>图形型-32核64G内存24G显存(5880)30M带宽（支持24小时开机）</t>
  </si>
  <si>
    <t>图形型-64核128G内存24G显存(5880)30M带宽（支持24小时开机）</t>
  </si>
  <si>
    <t>图形型-64核128G内存48G显存(5880)30M带宽（支持24小时开机）</t>
  </si>
  <si>
    <t>图形型-64核256G内存48G显存(5880)30M带宽（支持24小时开机）</t>
  </si>
  <si>
    <t>图形型-64核256G内存96G显存(5880)30M带宽（支持24小时开机）</t>
  </si>
  <si>
    <t>图形型-96核384G内存192G显存(5880)30M带宽（支持24小时开机）</t>
  </si>
  <si>
    <t>入门版（含200积分/月）</t>
  </si>
  <si>
    <t>2000积分（3个月有效期）</t>
  </si>
  <si>
    <t>项目</t>
  </si>
  <si>
    <t>明细</t>
  </si>
  <si>
    <t>版本</t>
  </si>
  <si>
    <t>套餐</t>
  </si>
  <si>
    <t>企业级安全可控的 AI 超级助理
开箱即用，灵活集成（多种部署模式，可快速集成为企业自有品牌）
企业级统一管控（身份、Agent、模型、Skill等一站式集中管理，批量运维）
多层级全链路安全（沙箱隔离、行为审计、安全护栏，防范 AI 风险）</t>
  </si>
  <si>
    <t>标准版（含1600积分/月）</t>
  </si>
  <si>
    <t>高级版（含4000积分/月）</t>
  </si>
  <si>
    <t>模型共享积分</t>
  </si>
  <si>
    <t>消耗说明：积分是 AI 模型的资源配额，用于衡量 AI 执行任务时消耗的计算资源，实际消耗量取决于任务复杂度和所用模型，各功能以及各模型的具体消耗预估可参考消耗参考表；
共享原则：供企业内多产品和多用户之间共享，默认多个产品之间共享使用，如需设置每个用户/每台云电脑的使用额度，请前往"AI管理中心&gt;模型中心&gt;积分包管理"中设置；
扣减原则：如您有多个积分包，系统会优先消耗最先到期的积分包，帮助您最大化利用资源；
退订规则：积分包购买后不支持退订。</t>
  </si>
  <si>
    <t>20000积分（6个月有效期）</t>
  </si>
  <si>
    <t>100000积分（1年有效期）</t>
  </si>
  <si>
    <t>基础带宽，30Mbps免费</t>
  </si>
  <si>
    <t>30Mbps</t>
  </si>
  <si>
    <t>华北1（青岛）</t>
  </si>
  <si>
    <t>华北2（北京）</t>
  </si>
  <si>
    <t>华北3（张家口）</t>
  </si>
  <si>
    <t>华东1（杭州）</t>
  </si>
  <si>
    <t>华东2（上海）</t>
  </si>
  <si>
    <t>华东5（南京）</t>
  </si>
  <si>
    <t>华东6（福州）</t>
  </si>
  <si>
    <t>华南3（广州）</t>
  </si>
  <si>
    <t>西南1（成都）</t>
  </si>
  <si>
    <t>中国（香港）</t>
  </si>
  <si>
    <t>华北地域</t>
  </si>
  <si>
    <t>华东地域</t>
  </si>
  <si>
    <t>华南地域</t>
  </si>
  <si>
    <t>华西地域</t>
  </si>
  <si>
    <t>海外地域</t>
  </si>
  <si>
    <t>中国-北京</t>
  </si>
  <si>
    <t>中国-天津</t>
  </si>
  <si>
    <t>中国-上海</t>
  </si>
  <si>
    <t>中国-重庆</t>
  </si>
  <si>
    <r>
      <rPr>
        <sz val="11"/>
        <color rgb="FF000000"/>
        <rFont val="等线"/>
        <family val="3"/>
        <charset val="134"/>
      </rPr>
      <t>中国-‌</t>
    </r>
    <r>
      <rPr>
        <sz val="11"/>
        <color rgb="FF000000"/>
        <rFont val="等线"/>
        <family val="3"/>
        <charset val="134"/>
      </rPr>
      <t>河北</t>
    </r>
  </si>
  <si>
    <t>中国-山西</t>
  </si>
  <si>
    <t>中国-辽宁</t>
  </si>
  <si>
    <t>中国-吉林</t>
  </si>
  <si>
    <t>中国-黑龙江</t>
  </si>
  <si>
    <t>中国-江苏</t>
  </si>
  <si>
    <t>中国-浙江</t>
  </si>
  <si>
    <t>中国-安徽</t>
  </si>
  <si>
    <t>中国-福建</t>
  </si>
  <si>
    <t>中国-江西</t>
  </si>
  <si>
    <t>中国-山东</t>
  </si>
  <si>
    <t>中国-河南</t>
  </si>
  <si>
    <t>中国-湖北</t>
  </si>
  <si>
    <t>中国-湖南</t>
  </si>
  <si>
    <t>中国-广东</t>
  </si>
  <si>
    <t>中国-海南</t>
  </si>
  <si>
    <t>中国-四川</t>
  </si>
  <si>
    <t>中国-贵州</t>
  </si>
  <si>
    <t>中国-云南</t>
  </si>
  <si>
    <t>中国-陕西</t>
  </si>
  <si>
    <t>中国-甘肃</t>
  </si>
  <si>
    <t>中国-青海</t>
  </si>
  <si>
    <t>中国-台湾</t>
  </si>
  <si>
    <r>
      <rPr>
        <sz val="11"/>
        <color rgb="FF000000"/>
        <rFont val="等线"/>
        <family val="3"/>
        <charset val="134"/>
      </rPr>
      <t>‌中国-</t>
    </r>
    <r>
      <rPr>
        <sz val="11"/>
        <color rgb="FF000000"/>
        <rFont val="等线"/>
        <family val="3"/>
        <charset val="134"/>
      </rPr>
      <t>内蒙古</t>
    </r>
  </si>
  <si>
    <r>
      <rPr>
        <sz val="11"/>
        <color rgb="FF000000"/>
        <rFont val="等线"/>
        <family val="3"/>
        <charset val="134"/>
      </rPr>
      <t>‌中国-</t>
    </r>
    <r>
      <rPr>
        <sz val="11"/>
        <color rgb="FF000000"/>
        <rFont val="等线"/>
        <family val="3"/>
        <charset val="134"/>
      </rPr>
      <t>广西壮族自治区</t>
    </r>
  </si>
  <si>
    <r>
      <rPr>
        <sz val="11"/>
        <color rgb="FF000000"/>
        <rFont val="等线"/>
        <family val="3"/>
        <charset val="134"/>
      </rPr>
      <t>‌中国-</t>
    </r>
    <r>
      <rPr>
        <sz val="11"/>
        <color rgb="FF000000"/>
        <rFont val="等线"/>
        <family val="3"/>
        <charset val="134"/>
      </rPr>
      <t>西藏自治区</t>
    </r>
  </si>
  <si>
    <r>
      <rPr>
        <sz val="11"/>
        <color rgb="FF000000"/>
        <rFont val="等线"/>
        <family val="3"/>
        <charset val="134"/>
      </rPr>
      <t>‌中国-</t>
    </r>
    <r>
      <rPr>
        <sz val="11"/>
        <color rgb="FF000000"/>
        <rFont val="等线"/>
        <family val="3"/>
        <charset val="134"/>
      </rPr>
      <t>宁夏回族自治区</t>
    </r>
  </si>
  <si>
    <r>
      <rPr>
        <sz val="11"/>
        <color rgb="FF000000"/>
        <rFont val="等线"/>
        <family val="3"/>
        <charset val="134"/>
      </rPr>
      <t>‌中国-</t>
    </r>
    <r>
      <rPr>
        <sz val="11"/>
        <color rgb="FF000000"/>
        <rFont val="等线"/>
        <family val="3"/>
        <charset val="134"/>
      </rPr>
      <t>新疆维吾尔自治区</t>
    </r>
  </si>
  <si>
    <t>国外地域</t>
  </si>
  <si>
    <t>中国-香港</t>
  </si>
  <si>
    <t>海外地区</t>
  </si>
  <si>
    <r>
      <t>PL0级别是阿里云提供的高性能云盘产品系列的基础级别。它基于新一代分布式块存储架构，结合了25GE网络和RDMA技术，提供高达100万的随机读写能力，相比传统SSD云盘，它拥有更低的单路时延。</t>
    </r>
    <r>
      <rPr>
        <sz val="10"/>
        <color rgb="FFFF0000"/>
        <rFont val="等线"/>
        <family val="3"/>
        <charset val="134"/>
      </rPr>
      <t>适用于对I/O性能有一定要求但不一定需要极致性能的场景。</t>
    </r>
  </si>
  <si>
    <r>
      <t>PL1级别相比PL0，提供了约5倍的IOPS（Input/Output Operations Per Second，即每秒输入输出操作次数）和2倍的吞吐量，</t>
    </r>
    <r>
      <rPr>
        <sz val="10"/>
        <color rgb="FFFF0000"/>
        <rFont val="等线"/>
        <family val="3"/>
        <charset val="134"/>
      </rPr>
      <t>适合那些需要更高并发读写能力的应用场景，能够在处理更多并发请求的同时保持较低的延迟。</t>
    </r>
  </si>
  <si>
    <r>
      <t>PL2级别进一步提升，相比PL1，大约可提升2倍的IOPS和吞吐量。这意味着它能够处理更大数据量的快速读写操作，</t>
    </r>
    <r>
      <rPr>
        <sz val="10"/>
        <color rgb="FFFF0000"/>
        <rFont val="等线"/>
        <family val="3"/>
        <charset val="134"/>
      </rPr>
      <t>适合对I/O性能有更高要求的业务，比如大型数据库、数据分析系统等。</t>
    </r>
  </si>
  <si>
    <r>
      <t>PL3是该系列中性能最顶级的级别，相比PL2，最高可提升20倍的IOPS、11倍的吞吐量，特别</t>
    </r>
    <r>
      <rPr>
        <sz val="10"/>
        <color rgb="FFFF0000"/>
        <rFont val="等线"/>
        <family val="3"/>
        <charset val="134"/>
      </rPr>
      <t>适合那些对极限并发I/O性能有极高要求、并且需要读写时延极其稳定的极端业务场景，比如金融交易系统、大规模在线游戏数据库等。</t>
    </r>
  </si>
  <si>
    <r>
      <t xml:space="preserve">一般就选这个
</t>
    </r>
    <r>
      <rPr>
        <sz val="10"/>
        <color rgb="FF000000"/>
        <rFont val="微软雅黑"/>
        <family val="2"/>
        <charset val="134"/>
      </rPr>
      <t>每台云电脑创建时自动包含5Mbps的基础带宽，此带宽由阿里云的所有租户共享使用。这意味着在网络高峰期，由于资源共享，实际可用带宽可能会受到影响，不适合对网络稳定性有严格要求的场景。</t>
    </r>
  </si>
  <si>
    <r>
      <t>精品带宽为用户独享，不与其他租户共享。这意味着你可以获得更加稳定和可靠的网络连接，不受其他用户使用情况的影响，</t>
    </r>
    <r>
      <rPr>
        <b/>
        <sz val="10"/>
        <color rgb="FFFF0000"/>
        <rFont val="微软雅黑"/>
        <family val="2"/>
        <charset val="134"/>
      </rPr>
      <t>适合对网络带宽质量和稳定性有较高要求的业务场景。</t>
    </r>
  </si>
  <si>
    <r>
      <t xml:space="preserve">无影云电脑用户在以下情况下可能需要选择购买无影流量包：
1. </t>
    </r>
    <r>
      <rPr>
        <b/>
        <sz val="10"/>
        <color rgb="FFFF0000"/>
        <rFont val="微软雅黑"/>
        <family val="2"/>
        <charset val="134"/>
      </rPr>
      <t>按使用流量计费的精品带</t>
    </r>
    <r>
      <rPr>
        <sz val="10"/>
        <color rgb="FF000000"/>
        <rFont val="微软雅黑"/>
        <family val="2"/>
        <charset val="134"/>
      </rPr>
      <t xml:space="preserve">宽：如果你的无影云电脑配置了公网精品带宽，并选择了按使用流量计费的付费模式，那么网络流量的消耗将会根据实际使用量进行计费。在这种情况下，为了节省流量费用，可以预先购买无影流量包。无影流量包作为一种预付费的流量套餐，可以用来抵扣按量付费的公网精品带宽流量，从而降低流量成本。
2. </t>
    </r>
    <r>
      <rPr>
        <b/>
        <sz val="10"/>
        <color rgb="FFFF0000"/>
        <rFont val="微软雅黑"/>
        <family val="2"/>
        <charset val="134"/>
      </rPr>
      <t>高网络流量消耗场景</t>
    </r>
    <r>
      <rPr>
        <sz val="10"/>
        <color rgb="FF000000"/>
        <rFont val="微软雅黑"/>
        <family val="2"/>
        <charset val="134"/>
      </rPr>
      <t xml:space="preserve">：如果你预计云电脑的使用过程中会产生大量的网络数据传输，比如频繁的文件上传下载、高清视频会议、大量数据同步等，这些活动会显著增加网络流量消耗。为了控制和预算这部分成本，购买无影流量包是一个经济的选择，因为它通常比直接按流量计费更为划算。
3. </t>
    </r>
    <r>
      <rPr>
        <b/>
        <sz val="10"/>
        <color rgb="FFFF0000"/>
        <rFont val="微软雅黑"/>
        <family val="2"/>
        <charset val="134"/>
      </rPr>
      <t>长期稳定流量需求</t>
    </r>
    <r>
      <rPr>
        <sz val="10"/>
        <color rgb="FF000000"/>
        <rFont val="微软雅黑"/>
        <family val="2"/>
        <charset val="134"/>
      </rPr>
      <t xml:space="preserve">：如果你的业务需要长期稳定的公网流量使用，且流量消耗较为规律，购买一定期限的无影流量包（如1个月、3个月、6个月或12个月）可以提前锁定成本，避免因流量突增导致的高额费用。
4. </t>
    </r>
    <r>
      <rPr>
        <b/>
        <sz val="10"/>
        <color rgb="FFFF0000"/>
        <rFont val="微软雅黑"/>
        <family val="2"/>
        <charset val="134"/>
      </rPr>
      <t>多办公网络共享</t>
    </r>
    <r>
      <rPr>
        <sz val="10"/>
        <color rgb="FF000000"/>
        <rFont val="微软雅黑"/>
        <family val="2"/>
        <charset val="134"/>
      </rPr>
      <t xml:space="preserve">：如果你的阿里云账号下管理着多个办公网络，且这些网络都有公网流量需求，无影流量包可以在账号内的多个办公网络间共享使用，提高资源利用率，进一步降低成本。
5. </t>
    </r>
    <r>
      <rPr>
        <b/>
        <sz val="10"/>
        <color rgb="FFFF0000"/>
        <rFont val="微软雅黑"/>
        <family val="2"/>
        <charset val="134"/>
      </rPr>
      <t>自动抵扣和管理便捷性</t>
    </r>
    <r>
      <rPr>
        <sz val="10"/>
        <color rgb="FF000000"/>
        <rFont val="微软雅黑"/>
        <family val="2"/>
        <charset val="134"/>
      </rPr>
      <t>：无影流量包购买后立即生效，且在有效期内自动抵扣流量费用，无需频繁关注和管理流量消耗，简化了财务管理流程。</t>
    </r>
  </si>
  <si>
    <r>
      <t xml:space="preserve">无影云电脑用户在以下情况下需要考虑企业网盘的价格：
1. </t>
    </r>
    <r>
      <rPr>
        <b/>
        <sz val="10"/>
        <color rgb="FFFF0000"/>
        <rFont val="微软雅黑"/>
        <family val="2"/>
        <charset val="134"/>
      </rPr>
      <t>文件存储与共享需求</t>
    </r>
    <r>
      <rPr>
        <sz val="10"/>
        <color rgb="FF000000"/>
        <rFont val="微软雅黑"/>
        <family val="2"/>
        <charset val="134"/>
      </rPr>
      <t xml:space="preserve">：当你的团队或组织需要一个集中、安全的云端存储空间来保存、备份和共享工作文件时，企业网盘就成为了一个必要的服务。无论是文档、图片还是其他类型的文件，企业网盘都能提供一站式存储解决方案。
2. </t>
    </r>
    <r>
      <rPr>
        <b/>
        <sz val="10"/>
        <color rgb="FFFF0000"/>
        <rFont val="微软雅黑"/>
        <family val="2"/>
        <charset val="134"/>
      </rPr>
      <t>团队协作与权限管理</t>
    </r>
    <r>
      <rPr>
        <sz val="10"/>
        <color rgb="FF000000"/>
        <rFont val="微软雅黑"/>
        <family val="2"/>
        <charset val="134"/>
      </rPr>
      <t xml:space="preserve">：如果你的团队成员分布在不同地点，需要远程协作编辑文件，或者需要对不同成员设置不同的访问权限（如只读、编辑、上传等），企业网盘的权限管理功能可以满足这些需求，确保数据安全的同时促进团队合作。
3. </t>
    </r>
    <r>
      <rPr>
        <b/>
        <sz val="10"/>
        <color rgb="FFFF0000"/>
        <rFont val="微软雅黑"/>
        <family val="2"/>
        <charset val="134"/>
      </rPr>
      <t>数据安全与合规性</t>
    </r>
    <r>
      <rPr>
        <sz val="10"/>
        <color rgb="FF000000"/>
        <rFont val="微软雅黑"/>
        <family val="2"/>
        <charset val="134"/>
      </rPr>
      <t xml:space="preserve">：企业网盘通常提供高级的数据加密技术和多重安全防护措施，确保数据在传输和存储过程中的安全性。对于重视数据隐私和需要遵循行业合规标准的企业而言，选择企业网盘服务是必要的。
4. </t>
    </r>
    <r>
      <rPr>
        <b/>
        <sz val="10"/>
        <color rgb="FFFF0000"/>
        <rFont val="微软雅黑"/>
        <family val="2"/>
        <charset val="134"/>
      </rPr>
      <t>按需或预付费选择</t>
    </r>
    <r>
      <rPr>
        <sz val="10"/>
        <color rgb="FF000000"/>
        <rFont val="微软雅黑"/>
        <family val="2"/>
        <charset val="134"/>
      </rPr>
      <t xml:space="preserve">：根据企业网盘的使用模式，你可以选择预付费的套餐包（如500 GiB、2 TiB、5 TiB、10 TiB等不同容量的年费套餐），或者选择按量付费模式，后者根据每天实际使用的存储容量计费。如果你预计存储需求相对稳定，预付费套餐可能更经济；若需求波动较大，则按量付费可能更灵活。
5. </t>
    </r>
    <r>
      <rPr>
        <b/>
        <sz val="10"/>
        <color rgb="FFFF0000"/>
        <rFont val="微软雅黑"/>
        <family val="2"/>
        <charset val="134"/>
      </rPr>
      <t>用户数限制</t>
    </r>
    <r>
      <rPr>
        <sz val="10"/>
        <color rgb="FF000000"/>
        <rFont val="微软雅黑"/>
        <family val="2"/>
        <charset val="134"/>
      </rPr>
      <t xml:space="preserve">：预付费套餐对企业网盘的终端用户数有限制（如500 GiB套餐限5个用户），如果你的团队规模超过预设限制，可能需要选择更高容量的套餐，或者考虑按量付费模式，因为按量付费模式下终端用户数没有限制。
6. </t>
    </r>
    <r>
      <rPr>
        <b/>
        <sz val="10"/>
        <color rgb="FFFF0000"/>
        <rFont val="微软雅黑"/>
        <family val="2"/>
        <charset val="134"/>
      </rPr>
      <t>成本控制与优化</t>
    </r>
    <r>
      <rPr>
        <sz val="10"/>
        <color rgb="FF000000"/>
        <rFont val="微软雅黑"/>
        <family val="2"/>
        <charset val="134"/>
      </rPr>
      <t>：在考虑企业网盘价格时，可以通过评估实际的存储需求、用户数量以及预期的使用时长，选择最合适的计费方式来控制成本。同时，可以参考节省成本的建议，比如购买时长包、核时包、无影流量包或通用资源包等增值服务，以进一步优化成本。
综上所述，当你的组织有文件存储、共享、协作和安全管理的需求时，就需要考虑企业网盘服务，并根据实际需求选择合适的计费模式和服务规格，从而合理规划和报备相关费用。</t>
    </r>
  </si>
  <si>
    <t>无影魔方Pro-AS06</t>
    <phoneticPr fontId="16" type="noConversion"/>
  </si>
  <si>
    <t>涨价了</t>
    <phoneticPr fontId="16" type="noConversion"/>
  </si>
  <si>
    <t>办公型旗舰型-8核16G内存30M带宽（支持24小时开机）</t>
    <phoneticPr fontId="16" type="noConversion"/>
  </si>
  <si>
    <t>备注</t>
    <phoneticPr fontId="16" type="noConversion"/>
  </si>
  <si>
    <t>商业版中没有此配置</t>
    <phoneticPr fontId="16" type="noConversion"/>
  </si>
  <si>
    <t>描述</t>
    <phoneticPr fontId="16" type="noConversion"/>
  </si>
  <si>
    <t xml:space="preserve">计算规格（必选项）
</t>
    <phoneticPr fontId="16" type="noConversion"/>
  </si>
  <si>
    <t>包含使用时长120小时，有效期1个月， 平均4-5小时/天，当月剩余时长不可转存至次月;
激活后云电脑默认开机，如10分钟内无连接，则自动关机/休眠以节省时长。</t>
    <phoneticPr fontId="16" type="noConversion"/>
  </si>
  <si>
    <t>包含使用时长120小时，有效期1个月， 平均4-5小时/天，当月剩余时长不可转存至次月;
激活后云电脑默认开机，如11分钟内无连接，则自动关机/休眠以节省时长。</t>
  </si>
  <si>
    <t>包含使用时长120小时，有效期1个月， 平均4-5小时/天，当月剩余时长不可转存至次月;
激活后云电脑默认开机，如12分钟内无连接，则自动关机/休眠以节省时长。</t>
  </si>
  <si>
    <t>包含使用时长120小时，有效期1个月， 平均4-5小时/天，当月剩余时长不可转存至次月;
激活后云电脑默认开机，如14分钟内无连接，则自动关机/休眠以节省时长。</t>
  </si>
  <si>
    <t>包含使用时长120小时，有效期1个月， 平均4-5小时/天，当月剩余时长不可转存至次月;
激活后云电脑默认开机，如15分钟内无连接，则自动关机/休眠以节省时长。</t>
  </si>
  <si>
    <t>包含使用时长120小时，有效期1个月， 平均4-5小时/天，当月剩余时长不可转存至次月;
激活后云电脑默认开机，如16分钟内无连接，则自动关机/休眠以节省时长。</t>
  </si>
  <si>
    <t>包含使用时长120小时，有效期1个月， 平均4-5小时/天，当月剩余时长不可转存至次月;
激活后云电脑默认开机，如17分钟内无连接，则自动关机/休眠以节省时长。</t>
  </si>
  <si>
    <t>包含使用时长120小时，有效期1个月， 平均4-5小时/天，当月剩余时长不可转存至次月;
激活后云电脑默认开机，如18分钟内无连接，则自动关机/休眠以节省时长。</t>
  </si>
  <si>
    <t>包含使用时长120小时，有效期1个月， 平均4-5小时/天，当月剩余时长不可转存至次月;
激活后云电脑默认开机，如19分钟内无连接，则自动关机/休眠以节省时长。</t>
  </si>
  <si>
    <t>包含使用时长120小时，有效期1个月， 平均4-5小时/天，当月剩余时长不可转存至次月;
激活后云电脑默认开机，如20分钟内无连接，则自动关机/休眠以节省时长。</t>
  </si>
  <si>
    <t>办公型标准型-4核8G内存30M带宽（支持24小时开机）</t>
    <phoneticPr fontId="16" type="noConversion"/>
  </si>
  <si>
    <t>不限时长，有效期1个月， 终端用户1小时内无连接或无操作，云电脑将自动休眠。 自动休眠后，云电脑内运行的进程会保留，再次唤醒时，进程会恢复运行。;
激活后云电脑默认开机，如10分钟内无连接，则自动关机/休眠以节省时长。</t>
    <phoneticPr fontId="16" type="noConversion"/>
  </si>
  <si>
    <t>不限时长，有效期1个月， 终端用户1小时内无连接或无操作，云电脑将自动休眠。 自动休眠后，云电脑内运行的进程会保留，再次唤醒时，进程会恢复运行。;
激活后云电脑默认开机，如11分钟内无连接，则自动关机/休眠以节省时长。</t>
  </si>
  <si>
    <t>不限时长，有效期1个月， 终端用户1小时内无连接或无操作，云电脑将自动休眠。 自动休眠后，云电脑内运行的进程会保留，再次唤醒时，进程会恢复运行。;
激活后云电脑默认开机，如12分钟内无连接，则自动关机/休眠以节省时长。</t>
  </si>
  <si>
    <t>不限时长，有效期1个月， 终端用户1小时内无连接或无操作，云电脑将自动休眠。 自动休眠后，云电脑内运行的进程会保留，再次唤醒时，进程会恢复运行。;
激活后云电脑默认开机，如13分钟内无连接，则自动关机/休眠以节省时长。</t>
  </si>
  <si>
    <t>不限时长，有效期1个月， 终端用户1小时内无连接或无操作，云电脑将自动休眠。 自动休眠后，云电脑内运行的进程会保留，再次唤醒时，进程会恢复运行。;
激活后云电脑默认开机，如14分钟内无连接，则自动关机/休眠以节省时长。</t>
  </si>
  <si>
    <t>办公型标准型-4核8G内存30M带宽（无强制休眠策略）</t>
    <phoneticPr fontId="16" type="noConversion"/>
  </si>
  <si>
    <t>办公型增强型-6核12G内存30M带宽（无强制休眠策略）</t>
    <phoneticPr fontId="16" type="noConversion"/>
  </si>
  <si>
    <t>办公型高级型-8核16G内存30M带宽（无强制休眠策略）</t>
    <phoneticPr fontId="16" type="noConversion"/>
  </si>
  <si>
    <t>办公型旗舰型-16核32G内存30M带宽（无强制休眠策略）</t>
    <phoneticPr fontId="16" type="noConversion"/>
  </si>
  <si>
    <t>省代采购成本</t>
    <phoneticPr fontId="16" type="noConversion"/>
  </si>
  <si>
    <t>T2</t>
    <phoneticPr fontId="16" type="noConversion"/>
  </si>
  <si>
    <t>渠道</t>
    <phoneticPr fontId="16" type="noConversion"/>
  </si>
  <si>
    <t>价格</t>
    <phoneticPr fontId="16" type="noConversion"/>
  </si>
  <si>
    <t>折扣率</t>
    <phoneticPr fontId="16" type="noConversion"/>
  </si>
  <si>
    <t>成本单价</t>
    <phoneticPr fontId="16" type="noConversion"/>
  </si>
  <si>
    <t>最低</t>
    <phoneticPr fontId="16" type="noConversion"/>
  </si>
  <si>
    <t>建议客户</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</si>
</sst>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0"/>
    <numFmt numFmtId="179" formatCode="&quot;¥&quot;#,##0.00_);[Red]\(&quot;¥&quot;#,##0.00\)"/>
  </numFmts>
  <fonts count="37" x14ac:knownFonts="1">
    <font>
      <sz val="12"/>
      <name val="等线"/>
    </font>
    <font>
      <sz val="11"/>
      <color rgb="FF000000"/>
      <name val="等线"/>
      <family val="3"/>
      <charset val="134"/>
    </font>
    <font>
      <b/>
      <sz val="11"/>
      <color rgb="FF000000"/>
      <name val="微软雅黑"/>
      <family val="2"/>
      <charset val="134"/>
    </font>
    <font>
      <b/>
      <sz val="11"/>
      <color rgb="FFFF0000"/>
      <name val="微软雅黑"/>
      <family val="2"/>
      <charset val="134"/>
    </font>
    <font>
      <sz val="11"/>
      <color rgb="FF000000"/>
      <name val="微软雅黑"/>
      <family val="2"/>
      <charset val="134"/>
    </font>
    <font>
      <b/>
      <sz val="14"/>
      <color rgb="FF000000"/>
      <name val="微软雅黑"/>
      <family val="2"/>
      <charset val="134"/>
    </font>
    <font>
      <sz val="14"/>
      <color rgb="FF000000"/>
      <name val="微软雅黑"/>
      <family val="2"/>
      <charset val="134"/>
    </font>
    <font>
      <b/>
      <u/>
      <sz val="11"/>
      <color rgb="FF0563C1"/>
      <name val="等线"/>
      <family val="3"/>
      <charset val="134"/>
    </font>
    <font>
      <sz val="11"/>
      <color rgb="FF73777A"/>
      <name val="微软雅黑"/>
      <family val="2"/>
      <charset val="134"/>
    </font>
    <font>
      <sz val="14"/>
      <color rgb="FF73777A"/>
      <name val="微软雅黑"/>
      <family val="2"/>
      <charset val="134"/>
    </font>
    <font>
      <b/>
      <sz val="14"/>
      <color rgb="FFFF0000"/>
      <name val="微软雅黑"/>
      <family val="2"/>
      <charset val="134"/>
    </font>
    <font>
      <b/>
      <sz val="14"/>
      <color rgb="FF73777A"/>
      <name val="微软雅黑"/>
      <family val="2"/>
      <charset val="134"/>
    </font>
    <font>
      <sz val="12"/>
      <color rgb="FF000000"/>
      <name val="等线"/>
      <family val="3"/>
      <charset val="134"/>
    </font>
    <font>
      <sz val="11"/>
      <color rgb="FFFF0000"/>
      <name val="微软雅黑"/>
      <family val="2"/>
      <charset val="134"/>
    </font>
    <font>
      <sz val="12"/>
      <color rgb="FF000000"/>
      <name val="等线"/>
      <family val="3"/>
      <charset val="134"/>
    </font>
    <font>
      <u/>
      <sz val="12"/>
      <color theme="10"/>
      <name val="等线"/>
      <family val="3"/>
      <charset val="134"/>
    </font>
    <font>
      <sz val="9"/>
      <name val="宋体"/>
      <family val="3"/>
      <charset val="134"/>
    </font>
    <font>
      <sz val="11"/>
      <color rgb="FF000000"/>
      <name val="等线"/>
      <family val="3"/>
      <charset val="134"/>
    </font>
    <font>
      <sz val="10"/>
      <color rgb="FF000000"/>
      <name val="等线"/>
      <family val="3"/>
      <charset val="134"/>
    </font>
    <font>
      <sz val="10"/>
      <name val="等线"/>
      <family val="3"/>
      <charset val="134"/>
    </font>
    <font>
      <sz val="10"/>
      <color rgb="FF73777A"/>
      <name val="微软雅黑"/>
      <family val="2"/>
      <charset val="134"/>
    </font>
    <font>
      <sz val="10"/>
      <color rgb="FF000000"/>
      <name val="微软雅黑"/>
      <family val="2"/>
      <charset val="134"/>
    </font>
    <font>
      <b/>
      <sz val="10"/>
      <color rgb="FFFF0000"/>
      <name val="等线"/>
      <family val="3"/>
      <charset val="134"/>
    </font>
    <font>
      <sz val="10"/>
      <color rgb="FFFF0000"/>
      <name val="等线"/>
      <family val="3"/>
      <charset val="134"/>
    </font>
    <font>
      <sz val="14"/>
      <color rgb="FFFF0000"/>
      <name val="微软雅黑"/>
      <family val="2"/>
      <charset val="134"/>
    </font>
    <font>
      <b/>
      <u/>
      <sz val="14"/>
      <color rgb="FF0563C1"/>
      <name val="等线"/>
      <family val="3"/>
      <charset val="134"/>
    </font>
    <font>
      <sz val="14"/>
      <color rgb="FF000000"/>
      <name val="等线"/>
      <family val="3"/>
      <charset val="134"/>
    </font>
    <font>
      <sz val="14"/>
      <name val="等线"/>
      <family val="3"/>
      <charset val="134"/>
    </font>
    <font>
      <b/>
      <sz val="10"/>
      <color rgb="FFFF0000"/>
      <name val="微软雅黑"/>
      <family val="2"/>
      <charset val="134"/>
    </font>
    <font>
      <b/>
      <sz val="10"/>
      <color rgb="FF73777A"/>
      <name val="微软雅黑"/>
      <family val="2"/>
      <charset val="134"/>
    </font>
    <font>
      <sz val="12"/>
      <name val="等线"/>
      <family val="3"/>
      <charset val="134"/>
    </font>
    <font>
      <b/>
      <sz val="11"/>
      <color rgb="FF73777A"/>
      <name val="微软雅黑"/>
      <family val="2"/>
      <charset val="134"/>
    </font>
    <font>
      <sz val="12"/>
      <color rgb="FFFF0000"/>
      <name val="等线"/>
      <family val="3"/>
      <charset val="134"/>
    </font>
    <font>
      <sz val="12"/>
      <name val="等线"/>
      <family val="3"/>
      <charset val="134"/>
    </font>
    <font>
      <b/>
      <sz val="12"/>
      <name val="等线"/>
      <family val="3"/>
      <charset val="134"/>
    </font>
    <font>
      <sz val="10"/>
      <name val="宋体"/>
      <family val="3"/>
      <charset val="134"/>
    </font>
    <font>
      <sz val="10"/>
      <color rgb="FF000000"/>
      <name val="宋体"/>
      <family val="3"/>
      <charset val="134"/>
    </font>
  </fonts>
  <fills count="14">
    <fill>
      <patternFill patternType="none"/>
    </fill>
    <fill>
      <patternFill patternType="gray125"/>
    </fill>
    <fill>
      <patternFill patternType="solid">
        <fgColor rgb="FFFFFFFF"/>
        <bgColor indexed="64"/>
      </patternFill>
    </fill>
    <fill>
      <patternFill patternType="solid">
        <fgColor rgb="FFF5F5F5"/>
        <bgColor indexed="64"/>
      </patternFill>
    </fill>
    <fill>
      <patternFill patternType="solid">
        <fgColor rgb="FFECF6FD"/>
        <bgColor indexed="64"/>
      </patternFill>
    </fill>
    <fill>
      <patternFill patternType="solid">
        <fgColor rgb="FFE2EFD9"/>
        <bgColor indexed="64"/>
      </patternFill>
    </fill>
    <fill>
      <patternFill patternType="solid">
        <fgColor rgb="FFDAE2F6"/>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5" fillId="0" borderId="0" applyNumberFormat="0" applyFill="0" applyBorder="0" applyAlignment="0" applyProtection="0">
      <alignment vertical="center"/>
    </xf>
    <xf numFmtId="0" fontId="30" fillId="0" borderId="0">
      <alignment vertical="center"/>
    </xf>
    <xf numFmtId="9" fontId="33" fillId="0" borderId="0" applyFont="0" applyFill="0" applyBorder="0" applyAlignment="0" applyProtection="0">
      <alignment vertical="center"/>
    </xf>
  </cellStyleXfs>
  <cellXfs count="126">
    <xf numFmtId="0" fontId="0" fillId="0" borderId="0" xfId="0">
      <alignment vertical="center"/>
    </xf>
    <xf numFmtId="0" fontId="1" fillId="0" borderId="0" xfId="0" applyFont="1" applyAlignment="1"/>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xf numFmtId="0" fontId="4" fillId="0" borderId="0" xfId="0" applyFont="1" applyAlignment="1">
      <alignment horizontal="center" vertical="center"/>
    </xf>
    <xf numFmtId="0" fontId="1" fillId="0" borderId="0" xfId="0" applyFont="1" applyAlignment="1">
      <alignment horizontal="center" vertical="center"/>
    </xf>
    <xf numFmtId="0" fontId="6" fillId="0" borderId="1" xfId="0" applyFont="1" applyBorder="1" applyAlignment="1">
      <alignment horizontal="center" vertical="center"/>
    </xf>
    <xf numFmtId="0" fontId="4" fillId="0" borderId="0" xfId="0" applyFont="1" applyAlignment="1"/>
    <xf numFmtId="0" fontId="4" fillId="0" borderId="0" xfId="0" applyFont="1">
      <alignment vertical="center"/>
    </xf>
    <xf numFmtId="0" fontId="7" fillId="0" borderId="0" xfId="0" applyFont="1" applyAlignment="1">
      <alignment horizontal="center" vertical="center" wrapText="1"/>
    </xf>
    <xf numFmtId="0" fontId="8"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 fillId="0" borderId="0" xfId="0" applyFont="1" applyAlignment="1">
      <alignment horizontal="center"/>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4" fillId="0" borderId="1" xfId="0" applyFont="1" applyBorder="1" applyAlignment="1"/>
    <xf numFmtId="3" fontId="1"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xf>
    <xf numFmtId="3" fontId="1" fillId="5" borderId="1" xfId="0" applyNumberFormat="1" applyFont="1" applyFill="1" applyBorder="1" applyAlignment="1">
      <alignment horizontal="center" vertical="center"/>
    </xf>
    <xf numFmtId="3" fontId="1" fillId="6" borderId="1" xfId="0" applyNumberFormat="1" applyFont="1" applyFill="1" applyBorder="1" applyAlignment="1">
      <alignment horizontal="center" vertical="center"/>
    </xf>
    <xf numFmtId="0" fontId="1" fillId="6" borderId="4" xfId="0" applyFont="1" applyFill="1" applyBorder="1" applyAlignment="1">
      <alignment horizontal="center" vertical="center"/>
    </xf>
    <xf numFmtId="0" fontId="1" fillId="6" borderId="1" xfId="0" applyFont="1" applyFill="1" applyBorder="1" applyAlignment="1">
      <alignment horizontal="center" vertical="center"/>
    </xf>
    <xf numFmtId="0" fontId="2" fillId="0" borderId="1" xfId="0" applyFont="1" applyBorder="1" applyAlignment="1">
      <alignment horizontal="center" vertical="center"/>
    </xf>
    <xf numFmtId="0" fontId="14" fillId="0" borderId="0" xfId="0" applyFont="1" applyAlignment="1">
      <alignment vertical="center" wrapText="1"/>
    </xf>
    <xf numFmtId="0" fontId="18" fillId="0" borderId="0" xfId="0" applyFont="1" applyAlignment="1">
      <alignment horizontal="center" vertical="center"/>
    </xf>
    <xf numFmtId="0" fontId="19" fillId="0" borderId="0" xfId="0" applyFont="1">
      <alignment vertical="center"/>
    </xf>
    <xf numFmtId="0" fontId="20" fillId="3" borderId="1" xfId="0" applyFont="1" applyFill="1" applyBorder="1" applyAlignment="1">
      <alignment horizontal="center" vertical="center" wrapText="1"/>
    </xf>
    <xf numFmtId="0" fontId="18" fillId="0" borderId="1" xfId="0" applyFont="1" applyBorder="1" applyAlignment="1">
      <alignment horizontal="center" vertical="center"/>
    </xf>
    <xf numFmtId="0" fontId="21" fillId="2" borderId="1" xfId="0" applyFont="1" applyFill="1" applyBorder="1" applyAlignment="1">
      <alignment horizontal="center" vertical="center" wrapText="1"/>
    </xf>
    <xf numFmtId="0" fontId="22" fillId="0" borderId="1" xfId="0" applyFont="1" applyBorder="1" applyAlignment="1">
      <alignment horizontal="center" vertical="center"/>
    </xf>
    <xf numFmtId="0" fontId="18" fillId="0" borderId="1" xfId="0" applyFont="1" applyBorder="1" applyAlignment="1">
      <alignment horizontal="left" vertical="center" wrapText="1"/>
    </xf>
    <xf numFmtId="0" fontId="21" fillId="4" borderId="1" xfId="0" applyFont="1" applyFill="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xf>
    <xf numFmtId="0" fontId="27" fillId="0" borderId="0" xfId="0" applyFont="1">
      <alignment vertical="center"/>
    </xf>
    <xf numFmtId="0" fontId="21" fillId="0" borderId="1" xfId="0" applyFont="1" applyBorder="1" applyAlignment="1">
      <alignment horizontal="center" vertic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1" fillId="0" borderId="1" xfId="0" applyFont="1" applyBorder="1" applyAlignment="1">
      <alignment horizontal="left" vertical="center" wrapText="1"/>
    </xf>
    <xf numFmtId="0" fontId="18" fillId="0" borderId="0" xfId="0" applyFont="1" applyAlignment="1"/>
    <xf numFmtId="0" fontId="21" fillId="0" borderId="1" xfId="0" applyFont="1" applyBorder="1" applyAlignment="1">
      <alignment horizontal="center" vertical="center" wrapText="1"/>
    </xf>
    <xf numFmtId="178" fontId="21" fillId="4" borderId="1" xfId="0" applyNumberFormat="1" applyFont="1" applyFill="1" applyBorder="1" applyAlignment="1">
      <alignment horizontal="center" vertical="center" wrapText="1"/>
    </xf>
    <xf numFmtId="0" fontId="21" fillId="0" borderId="1" xfId="0" applyFont="1" applyBorder="1" applyAlignment="1">
      <alignment vertical="center" wrapText="1"/>
    </xf>
    <xf numFmtId="0" fontId="21" fillId="0" borderId="1" xfId="0" applyFont="1" applyBorder="1" applyAlignment="1"/>
    <xf numFmtId="0" fontId="20" fillId="3" borderId="1" xfId="0" applyFont="1" applyFill="1" applyBorder="1" applyAlignment="1">
      <alignment horizontal="left" vertical="center" wrapText="1"/>
    </xf>
    <xf numFmtId="0" fontId="15" fillId="0" borderId="0" xfId="1" applyAlignment="1">
      <alignment horizontal="center" vertical="center" wrapText="1"/>
    </xf>
    <xf numFmtId="0" fontId="17" fillId="0" borderId="1" xfId="0" applyFont="1" applyBorder="1" applyAlignment="1">
      <alignment horizontal="center" vertical="center"/>
    </xf>
    <xf numFmtId="0" fontId="1" fillId="0" borderId="1" xfId="0" applyFont="1" applyBorder="1" applyAlignment="1">
      <alignment vertical="center" wrapText="1"/>
    </xf>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3" fontId="1" fillId="7" borderId="1" xfId="0" applyNumberFormat="1" applyFont="1" applyFill="1" applyBorder="1" applyAlignment="1">
      <alignment horizontal="center" vertical="center"/>
    </xf>
    <xf numFmtId="0" fontId="31" fillId="3" borderId="1" xfId="0" applyFont="1" applyFill="1" applyBorder="1" applyAlignment="1">
      <alignment horizontal="center" vertical="center" wrapText="1"/>
    </xf>
    <xf numFmtId="0" fontId="2" fillId="0" borderId="1" xfId="0" applyFont="1" applyBorder="1" applyAlignment="1"/>
    <xf numFmtId="0" fontId="31" fillId="7" borderId="1" xfId="0" applyFont="1" applyFill="1" applyBorder="1" applyAlignment="1">
      <alignment horizontal="center" vertical="center" wrapText="1"/>
    </xf>
    <xf numFmtId="0" fontId="4" fillId="0" borderId="1" xfId="0" applyFont="1" applyBorder="1" applyAlignment="1">
      <alignment wrapText="1"/>
    </xf>
    <xf numFmtId="0" fontId="32" fillId="0" borderId="0" xfId="0" applyFont="1">
      <alignment vertical="center"/>
    </xf>
    <xf numFmtId="9" fontId="4" fillId="0" borderId="0" xfId="0" applyNumberFormat="1" applyFont="1" applyAlignment="1">
      <alignment horizontal="center" vertical="center"/>
    </xf>
    <xf numFmtId="2" fontId="4" fillId="0" borderId="0" xfId="0" applyNumberFormat="1" applyFont="1" applyAlignment="1">
      <alignment horizontal="center" vertical="center"/>
    </xf>
    <xf numFmtId="0" fontId="2" fillId="8" borderId="7" xfId="0" applyFont="1" applyFill="1" applyBorder="1" applyAlignment="1">
      <alignment horizontal="center" vertical="center"/>
    </xf>
    <xf numFmtId="0" fontId="34" fillId="8" borderId="7" xfId="0" applyFont="1" applyFill="1" applyBorder="1" applyAlignment="1">
      <alignment horizontal="center" vertical="center"/>
    </xf>
    <xf numFmtId="179" fontId="35" fillId="8" borderId="7" xfId="0" applyNumberFormat="1" applyFont="1" applyFill="1" applyBorder="1" applyAlignment="1">
      <alignment horizontal="right" vertical="center"/>
    </xf>
    <xf numFmtId="179" fontId="36" fillId="8" borderId="7" xfId="0" applyNumberFormat="1" applyFont="1" applyFill="1" applyBorder="1" applyAlignment="1">
      <alignment horizontal="right" vertical="center"/>
    </xf>
    <xf numFmtId="0" fontId="2" fillId="9" borderId="7" xfId="0" applyFont="1" applyFill="1" applyBorder="1" applyAlignment="1">
      <alignment horizontal="center" vertical="center"/>
    </xf>
    <xf numFmtId="0" fontId="34" fillId="9" borderId="7" xfId="0" applyFont="1" applyFill="1" applyBorder="1" applyAlignment="1">
      <alignment horizontal="center" vertical="center"/>
    </xf>
    <xf numFmtId="0" fontId="2" fillId="10" borderId="7" xfId="0" applyFont="1" applyFill="1" applyBorder="1" applyAlignment="1">
      <alignment horizontal="center" vertical="center"/>
    </xf>
    <xf numFmtId="0" fontId="34" fillId="10" borderId="7" xfId="0" applyFont="1" applyFill="1" applyBorder="1" applyAlignment="1">
      <alignment horizontal="center" vertical="center"/>
    </xf>
    <xf numFmtId="179" fontId="0" fillId="9" borderId="7" xfId="0" applyNumberFormat="1" applyFill="1" applyBorder="1">
      <alignment vertical="center"/>
    </xf>
    <xf numFmtId="179" fontId="0" fillId="10" borderId="7" xfId="0" applyNumberFormat="1" applyFill="1" applyBorder="1">
      <alignment vertical="center"/>
    </xf>
    <xf numFmtId="10" fontId="34" fillId="8" borderId="7" xfId="3" applyNumberFormat="1" applyFont="1" applyFill="1" applyBorder="1">
      <alignment vertical="center"/>
    </xf>
    <xf numFmtId="0" fontId="2" fillId="11" borderId="7" xfId="0" applyFont="1" applyFill="1" applyBorder="1" applyAlignment="1">
      <alignment horizontal="center" vertical="center"/>
    </xf>
    <xf numFmtId="0" fontId="34" fillId="11" borderId="7" xfId="0" applyFont="1" applyFill="1" applyBorder="1" applyAlignment="1">
      <alignment horizontal="center" vertical="center"/>
    </xf>
    <xf numFmtId="179" fontId="0" fillId="11" borderId="7" xfId="0" applyNumberFormat="1" applyFill="1" applyBorder="1">
      <alignment vertical="center"/>
    </xf>
    <xf numFmtId="10" fontId="34" fillId="11" borderId="7" xfId="3" applyNumberFormat="1" applyFont="1" applyFill="1" applyBorder="1">
      <alignment vertical="center"/>
    </xf>
    <xf numFmtId="0" fontId="2" fillId="12" borderId="7" xfId="0" applyFont="1" applyFill="1" applyBorder="1" applyAlignment="1">
      <alignment horizontal="center" vertical="center"/>
    </xf>
    <xf numFmtId="0" fontId="34" fillId="12" borderId="7" xfId="0" applyFont="1" applyFill="1" applyBorder="1" applyAlignment="1">
      <alignment horizontal="center" vertical="center"/>
    </xf>
    <xf numFmtId="179" fontId="0" fillId="12" borderId="7" xfId="0" applyNumberFormat="1" applyFill="1" applyBorder="1">
      <alignment vertical="center"/>
    </xf>
    <xf numFmtId="10" fontId="34" fillId="12" borderId="7" xfId="3" applyNumberFormat="1" applyFont="1" applyFill="1" applyBorder="1">
      <alignment vertical="center"/>
    </xf>
    <xf numFmtId="10" fontId="34" fillId="10" borderId="7" xfId="3" applyNumberFormat="1" applyFont="1" applyFill="1" applyBorder="1">
      <alignment vertical="center"/>
    </xf>
    <xf numFmtId="0" fontId="2" fillId="13" borderId="7" xfId="0" applyFont="1" applyFill="1" applyBorder="1" applyAlignment="1">
      <alignment horizontal="center" vertical="center"/>
    </xf>
    <xf numFmtId="0" fontId="34" fillId="13" borderId="7" xfId="0" applyFont="1" applyFill="1" applyBorder="1" applyAlignment="1">
      <alignment horizontal="center" vertical="center"/>
    </xf>
    <xf numFmtId="179" fontId="0" fillId="13" borderId="7" xfId="0" applyNumberFormat="1" applyFill="1" applyBorder="1">
      <alignment vertical="center"/>
    </xf>
    <xf numFmtId="10" fontId="34" fillId="13" borderId="7" xfId="3" applyNumberFormat="1" applyFont="1" applyFill="1" applyBorder="1">
      <alignment vertical="center"/>
    </xf>
    <xf numFmtId="0" fontId="34" fillId="0" borderId="0" xfId="0" applyFont="1" applyAlignment="1">
      <alignment horizontal="right" vertical="center"/>
    </xf>
    <xf numFmtId="0" fontId="34" fillId="9" borderId="8" xfId="0" applyFont="1" applyFill="1" applyBorder="1" applyAlignment="1">
      <alignment horizontal="center" vertical="center"/>
    </xf>
    <xf numFmtId="0" fontId="34" fillId="9" borderId="10" xfId="0" applyFont="1" applyFill="1" applyBorder="1" applyAlignment="1">
      <alignment horizontal="center" vertical="center"/>
    </xf>
    <xf numFmtId="0" fontId="34" fillId="10" borderId="8" xfId="0" applyFont="1" applyFill="1" applyBorder="1" applyAlignment="1">
      <alignment horizontal="center" vertical="center"/>
    </xf>
    <xf numFmtId="0" fontId="34" fillId="10" borderId="9" xfId="0" applyFont="1" applyFill="1" applyBorder="1" applyAlignment="1">
      <alignment horizontal="center" vertical="center"/>
    </xf>
    <xf numFmtId="0" fontId="34" fillId="10" borderId="10" xfId="0" applyFont="1" applyFill="1" applyBorder="1" applyAlignment="1">
      <alignment horizontal="center" vertical="center"/>
    </xf>
    <xf numFmtId="0" fontId="34" fillId="13" borderId="8" xfId="0" applyFont="1" applyFill="1" applyBorder="1" applyAlignment="1">
      <alignment horizontal="center" vertical="center"/>
    </xf>
    <xf numFmtId="0" fontId="34" fillId="13" borderId="9"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9" xfId="0" applyFont="1" applyFill="1" applyBorder="1" applyAlignment="1">
      <alignment horizontal="center" vertical="center"/>
    </xf>
    <xf numFmtId="0" fontId="34" fillId="11" borderId="8" xfId="0" applyFont="1" applyFill="1" applyBorder="1" applyAlignment="1">
      <alignment horizontal="center" vertical="center"/>
    </xf>
    <xf numFmtId="0" fontId="34" fillId="11" borderId="10" xfId="0" applyFont="1" applyFill="1" applyBorder="1" applyAlignment="1">
      <alignment horizontal="center" vertical="center"/>
    </xf>
    <xf numFmtId="0" fontId="34" fillId="12" borderId="8" xfId="0" applyFont="1" applyFill="1" applyBorder="1" applyAlignment="1">
      <alignment horizontal="center" vertical="center"/>
    </xf>
    <xf numFmtId="0" fontId="34" fillId="12" borderId="9" xfId="0" applyFont="1" applyFill="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3" fillId="0" borderId="1" xfId="0" applyFont="1" applyBorder="1" applyAlignment="1">
      <alignment horizontal="center" vertical="center"/>
    </xf>
    <xf numFmtId="0" fontId="8" fillId="3" borderId="1" xfId="0" applyFont="1" applyFill="1" applyBorder="1" applyAlignment="1">
      <alignment horizontal="center" vertical="center" wrapText="1"/>
    </xf>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1" fillId="0" borderId="1" xfId="0" applyFont="1" applyBorder="1" applyAlignment="1">
      <alignment horizontal="left" vertical="center" wrapText="1"/>
    </xf>
    <xf numFmtId="0" fontId="11" fillId="3"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1" fillId="0" borderId="1" xfId="0" applyFont="1" applyBorder="1" applyAlignment="1">
      <alignment horizontal="left" vertical="center"/>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3" fillId="0" borderId="1" xfId="0" applyFont="1" applyBorder="1" applyAlignment="1">
      <alignment horizontal="center" vertical="center" wrapText="1"/>
    </xf>
    <xf numFmtId="0" fontId="31" fillId="3" borderId="1" xfId="0" applyFont="1" applyFill="1" applyBorder="1" applyAlignment="1">
      <alignment horizontal="center" vertical="center" wrapText="1"/>
    </xf>
  </cellXfs>
  <cellStyles count="4">
    <cellStyle name="百分比" xfId="3" builtinId="5"/>
    <cellStyle name="常规" xfId="0" builtinId="0"/>
    <cellStyle name="常规 2" xfId="2" xr:uid="{1ABEA082-52FD-497F-B8E5-F1BB0B5DEEEA}"/>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50" Type="http://www.wps.cn/officeDocument/2020/cellImage" Target="NUL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N7"/>
  <sheetViews>
    <sheetView showGridLines="0" workbookViewId="0">
      <selection activeCell="C20" sqref="C20"/>
    </sheetView>
  </sheetViews>
  <sheetFormatPr defaultColWidth="9" defaultRowHeight="12.75" x14ac:dyDescent="0.4"/>
  <cols>
    <col min="1" max="1" width="11.46875" style="31" bestFit="1" customWidth="1"/>
    <col min="2" max="2" width="16.3515625" style="31" bestFit="1" customWidth="1"/>
    <col min="3" max="3" width="19.64453125" style="31" bestFit="1" customWidth="1"/>
    <col min="4" max="4" width="79" style="31" customWidth="1"/>
    <col min="5" max="40" width="9" style="31"/>
    <col min="41" max="16384" width="9" style="32"/>
  </cols>
  <sheetData>
    <row r="1" spans="1:40" s="41" customFormat="1" ht="35.25" x14ac:dyDescent="0.4">
      <c r="A1" s="108" t="s">
        <v>20</v>
      </c>
      <c r="B1" s="109"/>
      <c r="C1" s="109"/>
      <c r="D1" s="110"/>
      <c r="E1" s="39" t="s">
        <v>14</v>
      </c>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row>
    <row r="2" spans="1:40" ht="13.9" x14ac:dyDescent="0.4">
      <c r="A2" s="33" t="s">
        <v>21</v>
      </c>
      <c r="B2" s="33" t="s">
        <v>22</v>
      </c>
      <c r="C2" s="33" t="s">
        <v>23</v>
      </c>
      <c r="D2" s="34" t="s">
        <v>24</v>
      </c>
    </row>
    <row r="3" spans="1:40" ht="13.9" x14ac:dyDescent="0.4">
      <c r="A3" s="35" t="s">
        <v>25</v>
      </c>
      <c r="B3" s="35">
        <v>0.25</v>
      </c>
      <c r="C3" s="35">
        <v>3.4699999999999998E-4</v>
      </c>
      <c r="D3" s="36" t="s">
        <v>26</v>
      </c>
    </row>
    <row r="4" spans="1:40" ht="38.25" x14ac:dyDescent="0.4">
      <c r="A4" s="35" t="s">
        <v>27</v>
      </c>
      <c r="B4" s="35">
        <v>0.5</v>
      </c>
      <c r="C4" s="35">
        <v>1.042E-3</v>
      </c>
      <c r="D4" s="37" t="s">
        <v>308</v>
      </c>
    </row>
    <row r="5" spans="1:40" ht="25.5" x14ac:dyDescent="0.4">
      <c r="A5" s="35" t="s">
        <v>28</v>
      </c>
      <c r="B5" s="35">
        <v>1</v>
      </c>
      <c r="C5" s="35">
        <v>2.0830000000000002E-3</v>
      </c>
      <c r="D5" s="37" t="s">
        <v>309</v>
      </c>
    </row>
    <row r="6" spans="1:40" ht="25.5" x14ac:dyDescent="0.4">
      <c r="A6" s="35" t="s">
        <v>29</v>
      </c>
      <c r="B6" s="35">
        <v>2</v>
      </c>
      <c r="C6" s="35">
        <v>4.1669999999999997E-3</v>
      </c>
      <c r="D6" s="37" t="s">
        <v>310</v>
      </c>
    </row>
    <row r="7" spans="1:40" ht="38.25" x14ac:dyDescent="0.4">
      <c r="A7" s="38" t="s">
        <v>30</v>
      </c>
      <c r="B7" s="38">
        <v>4</v>
      </c>
      <c r="C7" s="38">
        <v>8.3330000000000001E-3</v>
      </c>
      <c r="D7" s="37" t="s">
        <v>311</v>
      </c>
    </row>
  </sheetData>
  <mergeCells count="1">
    <mergeCell ref="A1:D1"/>
  </mergeCells>
  <phoneticPr fontId="16" type="noConversion"/>
  <hyperlinks>
    <hyperlink ref="E1" location="'B0-list价格索引'!A1" display="返回 索引表" xr:uid="{00000000-0004-0000-06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22"/>
  <sheetViews>
    <sheetView showGridLines="0" workbookViewId="0">
      <selection activeCell="E10" sqref="E10"/>
    </sheetView>
  </sheetViews>
  <sheetFormatPr defaultColWidth="9" defaultRowHeight="14.25" customHeight="1" x14ac:dyDescent="0.4"/>
  <cols>
    <col min="1" max="1" width="27.46875" style="1" customWidth="1"/>
    <col min="2" max="2" width="12.64453125" style="1" customWidth="1"/>
    <col min="3" max="3" width="20.17578125" style="1" customWidth="1"/>
    <col min="4" max="4" width="18.17578125" style="1" customWidth="1"/>
    <col min="5" max="5" width="12.46875" style="1" customWidth="1"/>
    <col min="6" max="6" width="12.41015625" style="1" bestFit="1" customWidth="1"/>
    <col min="7" max="7" width="8.87890625" style="1" customWidth="1"/>
    <col min="8" max="8" width="50.3515625" style="1" customWidth="1"/>
  </cols>
  <sheetData>
    <row r="1" spans="1:9" ht="50.1" customHeight="1" x14ac:dyDescent="0.4">
      <c r="A1" s="103" t="s">
        <v>31</v>
      </c>
      <c r="B1" s="104"/>
      <c r="C1" s="104"/>
      <c r="D1" s="104"/>
      <c r="E1" s="104"/>
      <c r="F1" s="104"/>
      <c r="G1" s="104"/>
      <c r="H1" s="105"/>
      <c r="I1" s="10" t="s">
        <v>14</v>
      </c>
    </row>
    <row r="2" spans="1:9" s="31" customFormat="1" ht="56.25" x14ac:dyDescent="0.4">
      <c r="A2" s="42" t="s">
        <v>32</v>
      </c>
      <c r="B2" s="42" t="s">
        <v>33</v>
      </c>
      <c r="C2" s="35" t="s">
        <v>34</v>
      </c>
      <c r="D2" s="35" t="s">
        <v>35</v>
      </c>
      <c r="E2" s="43">
        <v>0</v>
      </c>
      <c r="F2" s="43" t="s">
        <v>19</v>
      </c>
      <c r="G2" s="43" t="s">
        <v>19</v>
      </c>
      <c r="H2" s="44" t="s">
        <v>312</v>
      </c>
    </row>
    <row r="3" spans="1:9" s="32" customFormat="1" ht="14.65" x14ac:dyDescent="0.4">
      <c r="A3" s="35" t="s">
        <v>36</v>
      </c>
      <c r="B3" s="35" t="s">
        <v>37</v>
      </c>
      <c r="C3" s="35" t="s">
        <v>38</v>
      </c>
      <c r="D3" s="35" t="s">
        <v>35</v>
      </c>
      <c r="E3" s="35">
        <v>20</v>
      </c>
      <c r="F3" s="35" t="s">
        <v>39</v>
      </c>
      <c r="G3" s="43">
        <v>1</v>
      </c>
      <c r="H3" s="111" t="s">
        <v>313</v>
      </c>
    </row>
    <row r="4" spans="1:9" s="32" customFormat="1" ht="14.65" x14ac:dyDescent="0.4">
      <c r="A4" s="35" t="s">
        <v>40</v>
      </c>
      <c r="B4" s="35" t="s">
        <v>41</v>
      </c>
      <c r="C4" s="35" t="s">
        <v>42</v>
      </c>
      <c r="D4" s="35" t="s">
        <v>43</v>
      </c>
      <c r="E4" s="35">
        <v>0.8</v>
      </c>
      <c r="F4" s="43" t="s">
        <v>19</v>
      </c>
      <c r="G4" s="43" t="s">
        <v>19</v>
      </c>
      <c r="H4" s="111"/>
    </row>
    <row r="5" spans="1:9" s="32" customFormat="1" ht="14.65" x14ac:dyDescent="0.4">
      <c r="A5" s="38" t="s">
        <v>44</v>
      </c>
      <c r="B5" s="38" t="s">
        <v>37</v>
      </c>
      <c r="C5" s="38" t="s">
        <v>45</v>
      </c>
      <c r="D5" s="38" t="s">
        <v>46</v>
      </c>
      <c r="E5" s="48">
        <v>5.5555550000000002E-2</v>
      </c>
      <c r="F5" s="43" t="s">
        <v>19</v>
      </c>
      <c r="G5" s="43" t="s">
        <v>19</v>
      </c>
      <c r="H5" s="111"/>
    </row>
    <row r="6" spans="1:9" s="32" customFormat="1" ht="14.65" x14ac:dyDescent="0.35">
      <c r="A6" s="42" t="s">
        <v>47</v>
      </c>
      <c r="B6" s="42">
        <v>260</v>
      </c>
      <c r="C6" s="35" t="s">
        <v>48</v>
      </c>
      <c r="D6" s="35" t="s">
        <v>49</v>
      </c>
      <c r="E6" s="42">
        <v>260</v>
      </c>
      <c r="F6" s="43" t="s">
        <v>19</v>
      </c>
      <c r="G6" s="43" t="s">
        <v>19</v>
      </c>
      <c r="H6" s="46"/>
    </row>
    <row r="7" spans="1:9" s="32" customFormat="1" ht="14.65" x14ac:dyDescent="0.35">
      <c r="A7" s="42" t="s">
        <v>50</v>
      </c>
      <c r="B7" s="42">
        <v>480</v>
      </c>
      <c r="C7" s="35" t="s">
        <v>48</v>
      </c>
      <c r="D7" s="35" t="s">
        <v>49</v>
      </c>
      <c r="E7" s="42">
        <v>480</v>
      </c>
      <c r="F7" s="43" t="s">
        <v>19</v>
      </c>
      <c r="G7" s="43" t="s">
        <v>19</v>
      </c>
      <c r="H7" s="46"/>
    </row>
    <row r="8" spans="1:9" s="32" customFormat="1" ht="14.65" x14ac:dyDescent="0.35">
      <c r="A8" s="42" t="s">
        <v>51</v>
      </c>
      <c r="B8" s="47">
        <v>20.399999999999999</v>
      </c>
      <c r="C8" s="35" t="s">
        <v>48</v>
      </c>
      <c r="D8" s="35" t="s">
        <v>49</v>
      </c>
      <c r="E8" s="47">
        <v>20.399999999999999</v>
      </c>
      <c r="F8" s="43" t="s">
        <v>19</v>
      </c>
      <c r="G8" s="43" t="s">
        <v>19</v>
      </c>
      <c r="H8" s="46"/>
    </row>
    <row r="9" spans="1:9" s="32" customFormat="1" ht="14.65" x14ac:dyDescent="0.35">
      <c r="A9" s="42" t="s">
        <v>52</v>
      </c>
      <c r="B9" s="47">
        <v>90</v>
      </c>
      <c r="C9" s="35" t="s">
        <v>48</v>
      </c>
      <c r="D9" s="35" t="s">
        <v>49</v>
      </c>
      <c r="E9" s="47">
        <v>90</v>
      </c>
      <c r="F9" s="43" t="s">
        <v>19</v>
      </c>
      <c r="G9" s="43" t="s">
        <v>19</v>
      </c>
      <c r="H9" s="46"/>
    </row>
    <row r="10" spans="1:9" s="32" customFormat="1" ht="14.65" x14ac:dyDescent="0.35">
      <c r="A10" s="42" t="s">
        <v>53</v>
      </c>
      <c r="B10" s="47">
        <v>168</v>
      </c>
      <c r="C10" s="35" t="s">
        <v>48</v>
      </c>
      <c r="D10" s="35" t="s">
        <v>49</v>
      </c>
      <c r="E10" s="47">
        <v>168</v>
      </c>
      <c r="F10" s="43" t="s">
        <v>19</v>
      </c>
      <c r="G10" s="43" t="s">
        <v>19</v>
      </c>
      <c r="H10" s="46"/>
    </row>
    <row r="11" spans="1:9" s="32" customFormat="1" ht="14.65" x14ac:dyDescent="0.35">
      <c r="A11" s="42" t="s">
        <v>54</v>
      </c>
      <c r="B11" s="47">
        <v>780</v>
      </c>
      <c r="C11" s="35" t="s">
        <v>48</v>
      </c>
      <c r="D11" s="35" t="s">
        <v>49</v>
      </c>
      <c r="E11" s="47">
        <v>780</v>
      </c>
      <c r="F11" s="43" t="s">
        <v>19</v>
      </c>
      <c r="G11" s="43" t="s">
        <v>19</v>
      </c>
      <c r="H11" s="46"/>
    </row>
    <row r="12" spans="1:9" s="32" customFormat="1" ht="14.65" x14ac:dyDescent="0.35">
      <c r="A12" s="42" t="s">
        <v>55</v>
      </c>
      <c r="B12" s="47">
        <v>1440</v>
      </c>
      <c r="C12" s="35" t="s">
        <v>48</v>
      </c>
      <c r="D12" s="35" t="s">
        <v>49</v>
      </c>
      <c r="E12" s="47">
        <v>1440</v>
      </c>
      <c r="F12" s="43" t="s">
        <v>19</v>
      </c>
      <c r="G12" s="43" t="s">
        <v>19</v>
      </c>
      <c r="H12" s="46"/>
    </row>
    <row r="13" spans="1:9" s="32" customFormat="1" ht="14.65" x14ac:dyDescent="0.35">
      <c r="A13" s="42" t="s">
        <v>56</v>
      </c>
      <c r="B13" s="47">
        <v>40.799999999999997</v>
      </c>
      <c r="C13" s="35" t="s">
        <v>48</v>
      </c>
      <c r="D13" s="35" t="s">
        <v>49</v>
      </c>
      <c r="E13" s="47">
        <v>40.799999999999997</v>
      </c>
      <c r="F13" s="43" t="s">
        <v>19</v>
      </c>
      <c r="G13" s="43" t="s">
        <v>19</v>
      </c>
      <c r="H13" s="46"/>
    </row>
    <row r="14" spans="1:9" s="32" customFormat="1" ht="14.65" x14ac:dyDescent="0.35">
      <c r="A14" s="42" t="s">
        <v>57</v>
      </c>
      <c r="B14" s="47">
        <v>180</v>
      </c>
      <c r="C14" s="35" t="s">
        <v>48</v>
      </c>
      <c r="D14" s="35" t="s">
        <v>49</v>
      </c>
      <c r="E14" s="47">
        <v>180</v>
      </c>
      <c r="F14" s="43" t="s">
        <v>19</v>
      </c>
      <c r="G14" s="43" t="s">
        <v>19</v>
      </c>
      <c r="H14" s="46"/>
    </row>
    <row r="15" spans="1:9" s="32" customFormat="1" ht="14.65" x14ac:dyDescent="0.35">
      <c r="A15" s="42" t="s">
        <v>58</v>
      </c>
      <c r="B15" s="47">
        <v>336</v>
      </c>
      <c r="C15" s="35" t="s">
        <v>48</v>
      </c>
      <c r="D15" s="35" t="s">
        <v>49</v>
      </c>
      <c r="E15" s="47">
        <v>336</v>
      </c>
      <c r="F15" s="43" t="s">
        <v>19</v>
      </c>
      <c r="G15" s="43" t="s">
        <v>19</v>
      </c>
      <c r="H15" s="46"/>
    </row>
    <row r="16" spans="1:9" s="32" customFormat="1" ht="14.65" x14ac:dyDescent="0.35">
      <c r="A16" s="42" t="s">
        <v>59</v>
      </c>
      <c r="B16" s="47">
        <v>1560</v>
      </c>
      <c r="C16" s="35" t="s">
        <v>48</v>
      </c>
      <c r="D16" s="35" t="s">
        <v>49</v>
      </c>
      <c r="E16" s="47">
        <v>1560</v>
      </c>
      <c r="F16" s="43" t="s">
        <v>19</v>
      </c>
      <c r="G16" s="43" t="s">
        <v>19</v>
      </c>
      <c r="H16" s="46"/>
    </row>
    <row r="17" spans="1:8" s="32" customFormat="1" ht="14.65" x14ac:dyDescent="0.35">
      <c r="A17" s="42" t="s">
        <v>60</v>
      </c>
      <c r="B17" s="47">
        <v>2880</v>
      </c>
      <c r="C17" s="35" t="s">
        <v>48</v>
      </c>
      <c r="D17" s="35" t="s">
        <v>49</v>
      </c>
      <c r="E17" s="47">
        <v>2880</v>
      </c>
      <c r="F17" s="43" t="s">
        <v>19</v>
      </c>
      <c r="G17" s="43" t="s">
        <v>19</v>
      </c>
      <c r="H17" s="46"/>
    </row>
    <row r="18" spans="1:8" s="32" customFormat="1" ht="14.65" x14ac:dyDescent="0.35">
      <c r="A18" s="42" t="s">
        <v>61</v>
      </c>
      <c r="B18" s="42">
        <v>81.599999999999994</v>
      </c>
      <c r="C18" s="35" t="s">
        <v>48</v>
      </c>
      <c r="D18" s="35" t="s">
        <v>49</v>
      </c>
      <c r="E18" s="42">
        <v>81.599999999999994</v>
      </c>
      <c r="F18" s="43" t="s">
        <v>19</v>
      </c>
      <c r="G18" s="43" t="s">
        <v>19</v>
      </c>
      <c r="H18" s="46"/>
    </row>
    <row r="19" spans="1:8" s="32" customFormat="1" ht="14.65" x14ac:dyDescent="0.35">
      <c r="A19" s="42" t="s">
        <v>62</v>
      </c>
      <c r="B19" s="42">
        <v>360</v>
      </c>
      <c r="C19" s="35" t="s">
        <v>48</v>
      </c>
      <c r="D19" s="35" t="s">
        <v>49</v>
      </c>
      <c r="E19" s="42">
        <v>360</v>
      </c>
      <c r="F19" s="43" t="s">
        <v>19</v>
      </c>
      <c r="G19" s="43" t="s">
        <v>19</v>
      </c>
      <c r="H19" s="46"/>
    </row>
    <row r="20" spans="1:8" s="32" customFormat="1" ht="14.65" x14ac:dyDescent="0.35">
      <c r="A20" s="42" t="s">
        <v>63</v>
      </c>
      <c r="B20" s="42">
        <v>672</v>
      </c>
      <c r="C20" s="35" t="s">
        <v>48</v>
      </c>
      <c r="D20" s="35" t="s">
        <v>49</v>
      </c>
      <c r="E20" s="42">
        <v>672</v>
      </c>
      <c r="F20" s="43" t="s">
        <v>19</v>
      </c>
      <c r="G20" s="43" t="s">
        <v>19</v>
      </c>
      <c r="H20" s="46"/>
    </row>
    <row r="21" spans="1:8" s="32" customFormat="1" ht="14.65" x14ac:dyDescent="0.35">
      <c r="A21" s="42" t="s">
        <v>64</v>
      </c>
      <c r="B21" s="42">
        <v>3120</v>
      </c>
      <c r="C21" s="35" t="s">
        <v>48</v>
      </c>
      <c r="D21" s="35" t="s">
        <v>49</v>
      </c>
      <c r="E21" s="42">
        <v>3120</v>
      </c>
      <c r="F21" s="43" t="s">
        <v>19</v>
      </c>
      <c r="G21" s="43" t="s">
        <v>19</v>
      </c>
      <c r="H21" s="46"/>
    </row>
    <row r="22" spans="1:8" s="32" customFormat="1" ht="14.65" x14ac:dyDescent="0.35">
      <c r="A22" s="42" t="s">
        <v>65</v>
      </c>
      <c r="B22" s="42">
        <v>5760</v>
      </c>
      <c r="C22" s="35" t="s">
        <v>48</v>
      </c>
      <c r="D22" s="35" t="s">
        <v>49</v>
      </c>
      <c r="E22" s="42">
        <v>5760</v>
      </c>
      <c r="F22" s="43" t="s">
        <v>19</v>
      </c>
      <c r="G22" s="43" t="s">
        <v>19</v>
      </c>
      <c r="H22" s="46"/>
    </row>
  </sheetData>
  <mergeCells count="2">
    <mergeCell ref="A1:H1"/>
    <mergeCell ref="H3:H5"/>
  </mergeCells>
  <phoneticPr fontId="16" type="noConversion"/>
  <hyperlinks>
    <hyperlink ref="I1" location="'B0-list价格索引'!A1" display="返回 索引表"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#REF!</xm:f>
          </x14:formula1>
          <xm:sqref>G3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H12"/>
  <sheetViews>
    <sheetView showGridLines="0" workbookViewId="0">
      <selection activeCell="D14" sqref="D14"/>
    </sheetView>
  </sheetViews>
  <sheetFormatPr defaultColWidth="9" defaultRowHeight="14.25" customHeight="1" x14ac:dyDescent="0.4"/>
  <cols>
    <col min="1" max="6" width="19.3515625" style="14" customWidth="1"/>
    <col min="7" max="7" width="94.17578125" style="1" customWidth="1"/>
  </cols>
  <sheetData>
    <row r="1" spans="1:8" ht="39.950000000000003" customHeight="1" x14ac:dyDescent="0.4">
      <c r="A1" s="112" t="s">
        <v>66</v>
      </c>
      <c r="B1" s="112"/>
      <c r="C1" s="112"/>
      <c r="D1" s="112"/>
      <c r="E1" s="112"/>
      <c r="F1" s="112"/>
      <c r="G1" s="4" t="s">
        <v>1</v>
      </c>
      <c r="H1" s="10" t="s">
        <v>14</v>
      </c>
    </row>
    <row r="2" spans="1:8" s="32" customFormat="1" ht="13.9" x14ac:dyDescent="0.4">
      <c r="A2" s="47" t="s">
        <v>67</v>
      </c>
      <c r="B2" s="47" t="s">
        <v>68</v>
      </c>
      <c r="C2" s="47" t="s">
        <v>69</v>
      </c>
      <c r="D2" s="47" t="s">
        <v>70</v>
      </c>
      <c r="E2" s="47" t="s">
        <v>71</v>
      </c>
      <c r="F2" s="47" t="s">
        <v>72</v>
      </c>
      <c r="G2" s="111" t="s">
        <v>314</v>
      </c>
    </row>
    <row r="3" spans="1:8" s="32" customFormat="1" ht="13.9" x14ac:dyDescent="0.4">
      <c r="A3" s="47" t="s">
        <v>73</v>
      </c>
      <c r="B3" s="47">
        <v>6.8</v>
      </c>
      <c r="C3" s="47">
        <v>30</v>
      </c>
      <c r="D3" s="47">
        <v>56</v>
      </c>
      <c r="E3" s="47">
        <v>260</v>
      </c>
      <c r="F3" s="47">
        <v>480</v>
      </c>
      <c r="G3" s="114"/>
    </row>
    <row r="4" spans="1:8" s="32" customFormat="1" ht="14.65" x14ac:dyDescent="0.4">
      <c r="A4" s="113" t="s">
        <v>74</v>
      </c>
      <c r="B4" s="113"/>
      <c r="C4" s="113"/>
      <c r="D4" s="113"/>
      <c r="E4" s="113"/>
      <c r="F4" s="113"/>
      <c r="G4" s="114"/>
    </row>
    <row r="5" spans="1:8" s="32" customFormat="1" ht="13.9" x14ac:dyDescent="0.4">
      <c r="A5" s="47" t="s">
        <v>67</v>
      </c>
      <c r="B5" s="47" t="s">
        <v>75</v>
      </c>
      <c r="C5" s="47" t="s">
        <v>76</v>
      </c>
      <c r="D5" s="47" t="s">
        <v>77</v>
      </c>
      <c r="E5" s="47" t="s">
        <v>78</v>
      </c>
      <c r="F5" s="47" t="s">
        <v>79</v>
      </c>
      <c r="G5" s="114"/>
    </row>
    <row r="6" spans="1:8" s="32" customFormat="1" ht="13.9" x14ac:dyDescent="0.4">
      <c r="A6" s="47" t="s">
        <v>73</v>
      </c>
      <c r="B6" s="47">
        <v>20.399999999999999</v>
      </c>
      <c r="C6" s="47">
        <v>90</v>
      </c>
      <c r="D6" s="47">
        <v>168</v>
      </c>
      <c r="E6" s="47">
        <v>780</v>
      </c>
      <c r="F6" s="47">
        <v>1440</v>
      </c>
      <c r="G6" s="114"/>
    </row>
    <row r="7" spans="1:8" s="32" customFormat="1" ht="14.65" x14ac:dyDescent="0.4">
      <c r="A7" s="113" t="s">
        <v>80</v>
      </c>
      <c r="B7" s="113"/>
      <c r="C7" s="113"/>
      <c r="D7" s="113"/>
      <c r="E7" s="113"/>
      <c r="F7" s="113"/>
      <c r="G7" s="114"/>
    </row>
    <row r="8" spans="1:8" s="32" customFormat="1" ht="13.9" x14ac:dyDescent="0.4">
      <c r="A8" s="47" t="s">
        <v>67</v>
      </c>
      <c r="B8" s="47" t="s">
        <v>81</v>
      </c>
      <c r="C8" s="47" t="s">
        <v>77</v>
      </c>
      <c r="D8" s="47" t="s">
        <v>82</v>
      </c>
      <c r="E8" s="47" t="s">
        <v>79</v>
      </c>
      <c r="F8" s="47" t="s">
        <v>83</v>
      </c>
      <c r="G8" s="114"/>
    </row>
    <row r="9" spans="1:8" s="32" customFormat="1" ht="13.9" x14ac:dyDescent="0.4">
      <c r="A9" s="47" t="s">
        <v>73</v>
      </c>
      <c r="B9" s="47">
        <v>40.799999999999997</v>
      </c>
      <c r="C9" s="47">
        <v>180</v>
      </c>
      <c r="D9" s="47">
        <v>336</v>
      </c>
      <c r="E9" s="47">
        <v>1560</v>
      </c>
      <c r="F9" s="47">
        <v>2880</v>
      </c>
      <c r="G9" s="114"/>
    </row>
    <row r="10" spans="1:8" s="32" customFormat="1" ht="14.65" x14ac:dyDescent="0.4">
      <c r="A10" s="113" t="s">
        <v>84</v>
      </c>
      <c r="B10" s="113"/>
      <c r="C10" s="113"/>
      <c r="D10" s="113"/>
      <c r="E10" s="113"/>
      <c r="F10" s="113"/>
      <c r="G10" s="114"/>
    </row>
    <row r="11" spans="1:8" s="32" customFormat="1" ht="13.9" x14ac:dyDescent="0.4">
      <c r="A11" s="47" t="s">
        <v>67</v>
      </c>
      <c r="B11" s="47" t="s">
        <v>85</v>
      </c>
      <c r="C11" s="47" t="s">
        <v>82</v>
      </c>
      <c r="D11" s="47" t="s">
        <v>86</v>
      </c>
      <c r="E11" s="47" t="s">
        <v>83</v>
      </c>
      <c r="F11" s="47" t="s">
        <v>87</v>
      </c>
      <c r="G11" s="114"/>
    </row>
    <row r="12" spans="1:8" s="32" customFormat="1" ht="13.9" x14ac:dyDescent="0.4">
      <c r="A12" s="38" t="s">
        <v>73</v>
      </c>
      <c r="B12" s="38">
        <v>81.599999999999994</v>
      </c>
      <c r="C12" s="38">
        <v>360</v>
      </c>
      <c r="D12" s="38">
        <v>672</v>
      </c>
      <c r="E12" s="38">
        <v>3120</v>
      </c>
      <c r="F12" s="38">
        <v>5760</v>
      </c>
      <c r="G12" s="114"/>
    </row>
  </sheetData>
  <mergeCells count="5">
    <mergeCell ref="A1:F1"/>
    <mergeCell ref="A4:F4"/>
    <mergeCell ref="A7:F7"/>
    <mergeCell ref="A10:F10"/>
    <mergeCell ref="G2:G12"/>
  </mergeCells>
  <phoneticPr fontId="16" type="noConversion"/>
  <hyperlinks>
    <hyperlink ref="H1" location="'B0-list价格索引'!A1" display="返回 索引表" xr:uid="{00000000-0004-0000-08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D3"/>
  <sheetViews>
    <sheetView showGridLines="0" workbookViewId="0">
      <selection activeCell="F23" sqref="F23"/>
    </sheetView>
  </sheetViews>
  <sheetFormatPr defaultColWidth="9" defaultRowHeight="14.25" customHeight="1" x14ac:dyDescent="0.4"/>
  <cols>
    <col min="2" max="2" width="23.64453125" style="1" customWidth="1"/>
    <col min="3" max="3" width="39.1171875" style="1" customWidth="1"/>
  </cols>
  <sheetData>
    <row r="1" spans="1:4" ht="48" customHeight="1" x14ac:dyDescent="0.4">
      <c r="A1" s="13" t="s">
        <v>88</v>
      </c>
      <c r="B1" s="13" t="s">
        <v>89</v>
      </c>
      <c r="C1" s="7" t="s">
        <v>1</v>
      </c>
      <c r="D1" s="10" t="s">
        <v>14</v>
      </c>
    </row>
    <row r="2" spans="1:4" s="32" customFormat="1" ht="13.9" x14ac:dyDescent="0.4">
      <c r="A2" s="35" t="s">
        <v>90</v>
      </c>
      <c r="B2" s="35">
        <v>0.82</v>
      </c>
      <c r="C2" s="111" t="s">
        <v>91</v>
      </c>
    </row>
    <row r="3" spans="1:4" s="32" customFormat="1" ht="13.9" x14ac:dyDescent="0.4">
      <c r="A3" s="38" t="s">
        <v>92</v>
      </c>
      <c r="B3" s="38">
        <v>2.2000000000000002</v>
      </c>
      <c r="C3" s="114"/>
    </row>
  </sheetData>
  <mergeCells count="1">
    <mergeCell ref="C2:C3"/>
  </mergeCells>
  <phoneticPr fontId="16" type="noConversion"/>
  <hyperlinks>
    <hyperlink ref="D1" location="'B0-list价格索引'!A1" display="返回 索引表" xr:uid="{00000000-0004-0000-09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22"/>
  <sheetViews>
    <sheetView showGridLines="0" workbookViewId="0">
      <selection activeCell="A9" sqref="A9"/>
    </sheetView>
  </sheetViews>
  <sheetFormatPr defaultColWidth="9" defaultRowHeight="14.25" customHeight="1" x14ac:dyDescent="0.4"/>
  <cols>
    <col min="1" max="1" width="101.29296875" style="1" customWidth="1"/>
    <col min="2" max="2" width="55.64453125" style="1" customWidth="1"/>
  </cols>
  <sheetData>
    <row r="1" spans="1:3" ht="42.75" customHeight="1" x14ac:dyDescent="0.4">
      <c r="A1" s="115" t="s">
        <v>93</v>
      </c>
      <c r="B1" s="115"/>
      <c r="C1" s="10" t="s">
        <v>14</v>
      </c>
    </row>
    <row r="2" spans="1:3" s="32" customFormat="1" ht="20.25" customHeight="1" x14ac:dyDescent="0.4">
      <c r="A2" s="111" t="s">
        <v>94</v>
      </c>
      <c r="B2" s="111"/>
    </row>
    <row r="3" spans="1:3" s="32" customFormat="1" ht="20.25" customHeight="1" x14ac:dyDescent="0.4">
      <c r="A3" s="111" t="s">
        <v>95</v>
      </c>
      <c r="B3" s="111"/>
    </row>
    <row r="4" spans="1:3" s="32" customFormat="1" ht="20.25" customHeight="1" x14ac:dyDescent="0.4">
      <c r="A4" s="111" t="s">
        <v>96</v>
      </c>
      <c r="B4" s="111"/>
    </row>
    <row r="5" spans="1:3" s="32" customFormat="1" ht="36.75" customHeight="1" x14ac:dyDescent="0.4">
      <c r="A5" s="111" t="s">
        <v>97</v>
      </c>
      <c r="B5" s="111"/>
    </row>
    <row r="6" spans="1:3" s="32" customFormat="1" ht="20.25" customHeight="1" x14ac:dyDescent="0.45">
      <c r="A6" s="49" t="s">
        <v>98</v>
      </c>
      <c r="B6" s="50"/>
    </row>
    <row r="7" spans="1:3" s="32" customFormat="1" ht="20.25" customHeight="1" x14ac:dyDescent="0.45">
      <c r="A7" s="49" t="s">
        <v>99</v>
      </c>
      <c r="B7" s="50"/>
    </row>
    <row r="8" spans="1:3" s="32" customFormat="1" ht="20.25" customHeight="1" x14ac:dyDescent="0.4">
      <c r="A8" s="51" t="s">
        <v>100</v>
      </c>
      <c r="B8" s="51" t="s">
        <v>101</v>
      </c>
    </row>
    <row r="9" spans="1:3" s="32" customFormat="1" ht="20.25" customHeight="1" x14ac:dyDescent="0.4">
      <c r="A9" s="51" t="s">
        <v>11</v>
      </c>
      <c r="B9" s="51">
        <v>0</v>
      </c>
    </row>
    <row r="10" spans="1:3" s="32" customFormat="1" ht="20.25" customHeight="1" x14ac:dyDescent="0.4">
      <c r="A10" s="49" t="s">
        <v>102</v>
      </c>
      <c r="B10" s="45">
        <v>199</v>
      </c>
    </row>
    <row r="11" spans="1:3" s="32" customFormat="1" ht="20.25" customHeight="1" x14ac:dyDescent="0.4">
      <c r="A11" s="49" t="s">
        <v>103</v>
      </c>
      <c r="B11" s="45">
        <v>749</v>
      </c>
    </row>
    <row r="12" spans="1:3" s="32" customFormat="1" ht="20.25" customHeight="1" x14ac:dyDescent="0.4">
      <c r="A12" s="49" t="s">
        <v>104</v>
      </c>
      <c r="B12" s="45">
        <v>1799</v>
      </c>
    </row>
    <row r="13" spans="1:3" s="32" customFormat="1" ht="20.25" customHeight="1" x14ac:dyDescent="0.4">
      <c r="A13" s="49" t="s">
        <v>105</v>
      </c>
      <c r="B13" s="45">
        <v>3299</v>
      </c>
    </row>
    <row r="14" spans="1:3" s="32" customFormat="1" ht="20.25" customHeight="1" x14ac:dyDescent="0.4">
      <c r="A14" s="49" t="s">
        <v>106</v>
      </c>
      <c r="B14" s="45">
        <v>6598</v>
      </c>
    </row>
    <row r="15" spans="1:3" s="32" customFormat="1" ht="20.25" customHeight="1" x14ac:dyDescent="0.4">
      <c r="A15" s="49" t="s">
        <v>107</v>
      </c>
      <c r="B15" s="45">
        <v>9897</v>
      </c>
    </row>
    <row r="16" spans="1:3" s="32" customFormat="1" ht="39.950000000000003" customHeight="1" x14ac:dyDescent="0.4">
      <c r="A16" s="111" t="s">
        <v>315</v>
      </c>
      <c r="B16" s="114"/>
    </row>
    <row r="17" spans="1:2" s="32" customFormat="1" ht="39.950000000000003" customHeight="1" x14ac:dyDescent="0.4">
      <c r="A17" s="114"/>
      <c r="B17" s="114"/>
    </row>
    <row r="18" spans="1:2" s="32" customFormat="1" ht="39.950000000000003" customHeight="1" x14ac:dyDescent="0.4">
      <c r="A18" s="114"/>
      <c r="B18" s="114"/>
    </row>
    <row r="19" spans="1:2" s="32" customFormat="1" ht="39.950000000000003" customHeight="1" x14ac:dyDescent="0.4">
      <c r="A19" s="114"/>
      <c r="B19" s="114"/>
    </row>
    <row r="20" spans="1:2" s="32" customFormat="1" ht="39.950000000000003" customHeight="1" x14ac:dyDescent="0.4">
      <c r="A20" s="114"/>
      <c r="B20" s="114"/>
    </row>
    <row r="21" spans="1:2" s="32" customFormat="1" ht="39.950000000000003" customHeight="1" x14ac:dyDescent="0.4">
      <c r="A21" s="114"/>
      <c r="B21" s="114"/>
    </row>
    <row r="22" spans="1:2" s="32" customFormat="1" ht="39.950000000000003" customHeight="1" x14ac:dyDescent="0.4">
      <c r="A22" s="114"/>
      <c r="B22" s="114"/>
    </row>
  </sheetData>
  <mergeCells count="6">
    <mergeCell ref="A16:B22"/>
    <mergeCell ref="A1:B1"/>
    <mergeCell ref="A2:B2"/>
    <mergeCell ref="A3:B3"/>
    <mergeCell ref="A4:B4"/>
    <mergeCell ref="A5:B5"/>
  </mergeCells>
  <phoneticPr fontId="16" type="noConversion"/>
  <hyperlinks>
    <hyperlink ref="C1" location="'B0-list价格索引'!A1" display="返回 索引表" xr:uid="{00000000-0004-0000-0A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F16"/>
  <sheetViews>
    <sheetView showGridLines="0" workbookViewId="0">
      <selection sqref="A1:E1"/>
    </sheetView>
  </sheetViews>
  <sheetFormatPr defaultColWidth="9" defaultRowHeight="14.25" customHeight="1" x14ac:dyDescent="0.4"/>
  <cols>
    <col min="1" max="5" width="40.64453125" style="1" customWidth="1"/>
  </cols>
  <sheetData>
    <row r="1" spans="1:6" ht="46.5" customHeight="1" x14ac:dyDescent="0.4">
      <c r="A1" s="116" t="s">
        <v>108</v>
      </c>
      <c r="B1" s="116"/>
      <c r="C1" s="116"/>
      <c r="D1" s="116"/>
      <c r="E1" s="116"/>
      <c r="F1" s="10" t="s">
        <v>14</v>
      </c>
    </row>
    <row r="2" spans="1:6" ht="20.25" customHeight="1" x14ac:dyDescent="0.4">
      <c r="A2" s="116" t="s">
        <v>109</v>
      </c>
      <c r="B2" s="116" t="s">
        <v>110</v>
      </c>
      <c r="C2" s="116"/>
      <c r="D2" s="116"/>
      <c r="E2" s="116"/>
    </row>
    <row r="3" spans="1:6" ht="20.25" customHeight="1" x14ac:dyDescent="0.4">
      <c r="A3" s="116"/>
      <c r="B3" s="13">
        <v>12</v>
      </c>
      <c r="C3" s="13">
        <v>6</v>
      </c>
      <c r="D3" s="13">
        <v>3</v>
      </c>
      <c r="E3" s="13">
        <v>1</v>
      </c>
    </row>
    <row r="4" spans="1:6" ht="20.25" customHeight="1" x14ac:dyDescent="0.4">
      <c r="A4" s="15">
        <v>50000</v>
      </c>
      <c r="B4" s="15">
        <v>8177</v>
      </c>
      <c r="C4" s="15">
        <v>7889</v>
      </c>
      <c r="D4" s="15">
        <v>7602</v>
      </c>
      <c r="E4" s="15">
        <v>7147</v>
      </c>
    </row>
    <row r="5" spans="1:6" ht="20.25" customHeight="1" x14ac:dyDescent="0.4">
      <c r="A5" s="15">
        <v>200000</v>
      </c>
      <c r="B5" s="15">
        <v>30409</v>
      </c>
      <c r="C5" s="15">
        <v>29260</v>
      </c>
      <c r="D5" s="15">
        <v>28112</v>
      </c>
      <c r="E5" s="15">
        <v>26291</v>
      </c>
    </row>
    <row r="6" spans="1:6" ht="20.25" customHeight="1" x14ac:dyDescent="0.4">
      <c r="A6" s="15">
        <v>800000</v>
      </c>
      <c r="B6" s="15">
        <v>112447</v>
      </c>
      <c r="C6" s="15">
        <v>107853</v>
      </c>
      <c r="D6" s="15">
        <v>103258</v>
      </c>
      <c r="E6" s="15">
        <v>95977</v>
      </c>
    </row>
    <row r="7" spans="1:6" ht="20.25" customHeight="1" x14ac:dyDescent="0.4">
      <c r="A7" s="15">
        <v>3000000</v>
      </c>
      <c r="B7" s="15">
        <v>388823</v>
      </c>
      <c r="C7" s="15">
        <v>371595</v>
      </c>
      <c r="D7" s="15">
        <v>354366</v>
      </c>
      <c r="E7" s="15">
        <v>327060</v>
      </c>
    </row>
    <row r="8" spans="1:6" ht="21" customHeight="1" x14ac:dyDescent="0.4">
      <c r="A8" s="16" t="s">
        <v>111</v>
      </c>
      <c r="B8" s="7"/>
      <c r="C8" s="7"/>
      <c r="D8" s="7"/>
      <c r="E8" s="7"/>
    </row>
    <row r="9" spans="1:6" ht="20.25" customHeight="1" x14ac:dyDescent="0.4">
      <c r="A9" s="116" t="s">
        <v>112</v>
      </c>
      <c r="B9" s="116"/>
      <c r="C9" s="116"/>
      <c r="D9" s="116"/>
      <c r="E9" s="116"/>
    </row>
    <row r="10" spans="1:6" ht="20.25" customHeight="1" x14ac:dyDescent="0.4">
      <c r="A10" s="116" t="s">
        <v>109</v>
      </c>
      <c r="B10" s="116" t="s">
        <v>110</v>
      </c>
      <c r="C10" s="116"/>
      <c r="D10" s="116"/>
      <c r="E10" s="116"/>
    </row>
    <row r="11" spans="1:6" ht="20.25" customHeight="1" x14ac:dyDescent="0.4">
      <c r="A11" s="116"/>
      <c r="B11" s="13">
        <v>12</v>
      </c>
      <c r="C11" s="13">
        <v>6</v>
      </c>
      <c r="D11" s="13">
        <v>3</v>
      </c>
      <c r="E11" s="13">
        <v>1</v>
      </c>
    </row>
    <row r="12" spans="1:6" ht="20.25" customHeight="1" x14ac:dyDescent="0.4">
      <c r="A12" s="15">
        <v>50000</v>
      </c>
      <c r="B12" s="15">
        <v>0.9</v>
      </c>
      <c r="C12" s="15">
        <v>0.86799999999999999</v>
      </c>
      <c r="D12" s="15">
        <v>0.83699999999999997</v>
      </c>
      <c r="E12" s="15">
        <v>0.78700000000000003</v>
      </c>
    </row>
    <row r="13" spans="1:6" ht="20.25" customHeight="1" x14ac:dyDescent="0.4">
      <c r="A13" s="15">
        <v>200000</v>
      </c>
      <c r="B13" s="15">
        <v>0.83699999999999997</v>
      </c>
      <c r="C13" s="15">
        <v>0.80500000000000005</v>
      </c>
      <c r="D13" s="15">
        <v>0.77400000000000002</v>
      </c>
      <c r="E13" s="15">
        <v>0.72299999999999998</v>
      </c>
    </row>
    <row r="14" spans="1:6" ht="20.25" customHeight="1" x14ac:dyDescent="0.4">
      <c r="A14" s="15">
        <v>800000</v>
      </c>
      <c r="B14" s="15">
        <v>0.77400000000000002</v>
      </c>
      <c r="C14" s="15">
        <v>0.74199999999999999</v>
      </c>
      <c r="D14" s="15">
        <v>0.71</v>
      </c>
      <c r="E14" s="15">
        <v>0.66</v>
      </c>
    </row>
    <row r="15" spans="1:6" ht="20.25" customHeight="1" x14ac:dyDescent="0.4">
      <c r="A15" s="15">
        <v>3000000</v>
      </c>
      <c r="B15" s="15">
        <v>0.71299999999999997</v>
      </c>
      <c r="C15" s="15">
        <v>0.68200000000000005</v>
      </c>
      <c r="D15" s="15">
        <v>0.65</v>
      </c>
      <c r="E15" s="15">
        <v>0.6</v>
      </c>
    </row>
    <row r="16" spans="1:6" ht="204.75" customHeight="1" x14ac:dyDescent="0.4">
      <c r="A16" s="117" t="s">
        <v>113</v>
      </c>
      <c r="B16" s="118"/>
      <c r="C16" s="118"/>
      <c r="D16" s="118"/>
      <c r="E16" s="118"/>
    </row>
  </sheetData>
  <mergeCells count="7">
    <mergeCell ref="A1:E1"/>
    <mergeCell ref="B2:E2"/>
    <mergeCell ref="A9:E9"/>
    <mergeCell ref="B10:E10"/>
    <mergeCell ref="A16:E16"/>
    <mergeCell ref="A2:A3"/>
    <mergeCell ref="A10:A11"/>
  </mergeCells>
  <phoneticPr fontId="16" type="noConversion"/>
  <hyperlinks>
    <hyperlink ref="F1" location="'B0-list价格索引'!A1" display="返回 索引表" xr:uid="{00000000-0004-0000-0B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9"/>
  </sheetPr>
  <dimension ref="A1:F15"/>
  <sheetViews>
    <sheetView showGridLines="0" workbookViewId="0">
      <selection activeCell="C6" sqref="C6"/>
    </sheetView>
  </sheetViews>
  <sheetFormatPr defaultColWidth="9" defaultRowHeight="14.25" customHeight="1" x14ac:dyDescent="0.4"/>
  <cols>
    <col min="2" max="2" width="25.9375" style="1" customWidth="1"/>
    <col min="3" max="3" width="63.8203125" style="1" customWidth="1"/>
    <col min="5" max="5" width="12.52734375" customWidth="1"/>
    <col min="6" max="6" width="19.64453125" customWidth="1"/>
  </cols>
  <sheetData>
    <row r="1" spans="1:6" s="6" customFormat="1" ht="42" customHeight="1" x14ac:dyDescent="0.4">
      <c r="A1" s="17" t="s">
        <v>114</v>
      </c>
      <c r="B1" s="17" t="s">
        <v>115</v>
      </c>
      <c r="C1" s="17" t="s">
        <v>116</v>
      </c>
      <c r="D1" s="17" t="s">
        <v>117</v>
      </c>
      <c r="E1" s="18" t="s">
        <v>14</v>
      </c>
    </row>
    <row r="2" spans="1:6" s="6" customFormat="1" ht="50" customHeight="1" x14ac:dyDescent="0.4">
      <c r="A2" s="17">
        <v>1</v>
      </c>
      <c r="B2" s="17" t="s">
        <v>5</v>
      </c>
      <c r="C2" s="19" t="s">
        <v>118</v>
      </c>
      <c r="D2" s="17">
        <v>399</v>
      </c>
      <c r="E2" s="17"/>
      <c r="F2" s="52"/>
    </row>
    <row r="3" spans="1:6" ht="50" customHeight="1" x14ac:dyDescent="0.4">
      <c r="A3" s="17">
        <v>2</v>
      </c>
      <c r="B3" s="53" t="s">
        <v>316</v>
      </c>
      <c r="C3" s="20" t="s">
        <v>119</v>
      </c>
      <c r="D3" s="17">
        <v>1999</v>
      </c>
      <c r="E3" s="4"/>
      <c r="F3" s="62" t="s">
        <v>317</v>
      </c>
    </row>
    <row r="4" spans="1:6" ht="50" customHeight="1" x14ac:dyDescent="0.4">
      <c r="A4" s="17">
        <v>3</v>
      </c>
      <c r="B4" s="17" t="s">
        <v>120</v>
      </c>
      <c r="C4" s="20" t="s">
        <v>121</v>
      </c>
      <c r="D4" s="17">
        <v>1599</v>
      </c>
      <c r="E4" s="4"/>
    </row>
    <row r="5" spans="1:6" s="6" customFormat="1" ht="50" customHeight="1" x14ac:dyDescent="0.4">
      <c r="A5" s="17">
        <v>4</v>
      </c>
      <c r="B5" s="17" t="s">
        <v>122</v>
      </c>
      <c r="C5" s="19" t="s">
        <v>123</v>
      </c>
      <c r="D5" s="17">
        <v>1999</v>
      </c>
      <c r="E5" s="17"/>
    </row>
    <row r="6" spans="1:6" s="6" customFormat="1" ht="50" customHeight="1" x14ac:dyDescent="0.4">
      <c r="A6" s="17">
        <v>5</v>
      </c>
      <c r="B6" s="17" t="s">
        <v>124</v>
      </c>
      <c r="C6" s="19" t="s">
        <v>125</v>
      </c>
      <c r="D6" s="17">
        <v>1699</v>
      </c>
      <c r="E6" s="17"/>
    </row>
    <row r="7" spans="1:6" s="6" customFormat="1" ht="50" customHeight="1" x14ac:dyDescent="0.4">
      <c r="A7" s="17">
        <v>6</v>
      </c>
      <c r="B7" s="17" t="s">
        <v>126</v>
      </c>
      <c r="C7" s="19" t="s">
        <v>127</v>
      </c>
      <c r="D7" s="17">
        <v>3999</v>
      </c>
      <c r="E7" s="17"/>
    </row>
    <row r="8" spans="1:6" s="6" customFormat="1" ht="50" customHeight="1" x14ac:dyDescent="0.4">
      <c r="A8" s="17">
        <v>7</v>
      </c>
      <c r="B8" s="17" t="s">
        <v>128</v>
      </c>
      <c r="C8" s="19" t="s">
        <v>129</v>
      </c>
      <c r="D8" s="17">
        <v>1699</v>
      </c>
      <c r="E8" s="17"/>
    </row>
    <row r="9" spans="1:6" ht="50" customHeight="1" x14ac:dyDescent="0.4">
      <c r="A9" s="17">
        <v>8</v>
      </c>
      <c r="B9" s="17" t="s">
        <v>130</v>
      </c>
      <c r="C9" s="20" t="s">
        <v>131</v>
      </c>
      <c r="D9" s="17">
        <v>2499</v>
      </c>
      <c r="E9" s="4"/>
    </row>
    <row r="10" spans="1:6" ht="50" customHeight="1" x14ac:dyDescent="0.4">
      <c r="A10" s="17">
        <v>9</v>
      </c>
      <c r="B10" s="17" t="s">
        <v>132</v>
      </c>
      <c r="C10" s="20" t="s">
        <v>133</v>
      </c>
      <c r="D10" s="17">
        <v>1699</v>
      </c>
      <c r="E10" s="4"/>
    </row>
    <row r="11" spans="1:6" ht="50" customHeight="1" x14ac:dyDescent="0.4">
      <c r="A11" s="17">
        <v>10</v>
      </c>
      <c r="B11" s="17" t="s">
        <v>134</v>
      </c>
      <c r="C11" s="54" t="s">
        <v>135</v>
      </c>
      <c r="D11" s="17">
        <v>0</v>
      </c>
      <c r="E11" s="4"/>
    </row>
    <row r="12" spans="1:6" ht="50" customHeight="1" x14ac:dyDescent="0.4">
      <c r="A12" s="17">
        <v>11</v>
      </c>
      <c r="B12" s="17" t="s">
        <v>6</v>
      </c>
      <c r="C12" s="20" t="s">
        <v>136</v>
      </c>
      <c r="D12" s="17">
        <v>399</v>
      </c>
      <c r="E12" s="4"/>
    </row>
    <row r="13" spans="1:6" ht="50" customHeight="1" x14ac:dyDescent="0.4">
      <c r="A13" s="17">
        <v>12</v>
      </c>
      <c r="B13" s="17" t="s">
        <v>137</v>
      </c>
      <c r="C13" s="20" t="s">
        <v>136</v>
      </c>
      <c r="D13" s="17">
        <v>799</v>
      </c>
      <c r="E13" s="4"/>
    </row>
    <row r="14" spans="1:6" ht="50" customHeight="1" x14ac:dyDescent="0.4">
      <c r="A14" s="17">
        <v>13</v>
      </c>
      <c r="B14" s="17" t="s">
        <v>138</v>
      </c>
      <c r="C14" s="20" t="s">
        <v>136</v>
      </c>
      <c r="D14" s="17">
        <v>999</v>
      </c>
      <c r="E14" s="4"/>
    </row>
    <row r="15" spans="1:6" ht="50" customHeight="1" x14ac:dyDescent="0.4">
      <c r="A15" s="17">
        <v>14</v>
      </c>
      <c r="B15" s="17" t="s">
        <v>139</v>
      </c>
      <c r="C15" s="20" t="s">
        <v>136</v>
      </c>
      <c r="D15" s="17">
        <v>2099</v>
      </c>
      <c r="E15" s="4"/>
    </row>
  </sheetData>
  <phoneticPr fontId="16" type="noConversion"/>
  <hyperlinks>
    <hyperlink ref="E1" location="'B0-list价格索引'!A1" display="返回 索引表" xr:uid="{00000000-0004-0000-0C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N102"/>
  <sheetViews>
    <sheetView showGridLines="0" topLeftCell="A16" workbookViewId="0">
      <selection activeCell="A7" sqref="A7:G7"/>
    </sheetView>
  </sheetViews>
  <sheetFormatPr defaultColWidth="9" defaultRowHeight="16.5" customHeight="1" x14ac:dyDescent="0.5"/>
  <cols>
    <col min="1" max="1" width="68.17578125" style="8" customWidth="1"/>
    <col min="2" max="2" width="6.46875" style="8" customWidth="1"/>
    <col min="3" max="5" width="9.64453125" style="8" customWidth="1"/>
    <col min="6" max="6" width="7.8203125" style="8" customWidth="1"/>
    <col min="7" max="9" width="8.46875" style="8" customWidth="1"/>
    <col min="10" max="11" width="9" style="8" customWidth="1"/>
    <col min="12" max="12" width="10.17578125" style="8" customWidth="1"/>
    <col min="13" max="13" width="9.64453125" style="8" customWidth="1"/>
    <col min="14" max="40" width="9" style="8"/>
  </cols>
  <sheetData>
    <row r="1" spans="1:13" ht="38.25" customHeight="1" x14ac:dyDescent="0.5">
      <c r="A1" s="106" t="s">
        <v>13</v>
      </c>
      <c r="B1" s="106"/>
      <c r="C1" s="106"/>
      <c r="D1" s="106"/>
      <c r="E1" s="106"/>
      <c r="F1" s="106"/>
      <c r="G1" s="106"/>
      <c r="H1" s="106"/>
      <c r="I1" s="106"/>
      <c r="J1" s="106"/>
      <c r="K1" s="106"/>
      <c r="L1" s="106"/>
      <c r="M1" s="18" t="s">
        <v>14</v>
      </c>
    </row>
    <row r="2" spans="1:13" ht="30" customHeight="1" x14ac:dyDescent="0.5">
      <c r="A2" s="107" t="s">
        <v>140</v>
      </c>
      <c r="B2" s="107" t="s">
        <v>15</v>
      </c>
      <c r="C2" s="107" t="s">
        <v>16</v>
      </c>
      <c r="D2" s="107" t="s">
        <v>17</v>
      </c>
      <c r="E2" s="107" t="s">
        <v>141</v>
      </c>
      <c r="F2" s="107" t="s">
        <v>142</v>
      </c>
      <c r="G2" s="107"/>
      <c r="H2" s="107"/>
      <c r="I2" s="107"/>
      <c r="J2" s="107"/>
      <c r="K2" s="107"/>
      <c r="L2" s="107"/>
      <c r="M2" s="21"/>
    </row>
    <row r="3" spans="1:13" ht="30" customHeight="1" x14ac:dyDescent="0.5">
      <c r="A3" s="107"/>
      <c r="B3" s="107"/>
      <c r="C3" s="107"/>
      <c r="D3" s="107"/>
      <c r="E3" s="107"/>
      <c r="F3" s="11" t="s">
        <v>8</v>
      </c>
      <c r="G3" s="11" t="s">
        <v>0</v>
      </c>
      <c r="H3" s="11" t="s">
        <v>143</v>
      </c>
      <c r="I3" s="11" t="s">
        <v>144</v>
      </c>
      <c r="J3" s="11" t="s">
        <v>145</v>
      </c>
      <c r="K3" s="11" t="s">
        <v>146</v>
      </c>
      <c r="L3" s="11" t="s">
        <v>147</v>
      </c>
      <c r="M3" s="21"/>
    </row>
    <row r="4" spans="1:13" ht="30" customHeight="1" x14ac:dyDescent="0.5">
      <c r="A4" s="17" t="s">
        <v>2</v>
      </c>
      <c r="B4" s="12"/>
      <c r="C4" s="12"/>
      <c r="D4" s="12"/>
      <c r="E4" s="12"/>
      <c r="F4" s="12"/>
      <c r="G4" s="22">
        <v>182</v>
      </c>
      <c r="H4" s="22">
        <v>365</v>
      </c>
      <c r="I4" s="22">
        <v>547</v>
      </c>
      <c r="J4" s="22">
        <v>730</v>
      </c>
      <c r="K4" s="22">
        <v>912</v>
      </c>
      <c r="L4" s="22">
        <v>1095</v>
      </c>
      <c r="M4" s="21"/>
    </row>
    <row r="5" spans="1:13" ht="30" customHeight="1" x14ac:dyDescent="0.5">
      <c r="A5" s="17" t="s">
        <v>148</v>
      </c>
      <c r="B5" s="12"/>
      <c r="C5" s="12"/>
      <c r="D5" s="12"/>
      <c r="E5" s="12"/>
      <c r="F5" s="12"/>
      <c r="G5" s="22">
        <v>267</v>
      </c>
      <c r="H5" s="22">
        <v>535</v>
      </c>
      <c r="I5" s="22">
        <v>802</v>
      </c>
      <c r="J5" s="22">
        <v>1070</v>
      </c>
      <c r="K5" s="22">
        <v>1337</v>
      </c>
      <c r="L5" s="22">
        <v>1605</v>
      </c>
      <c r="M5" s="21"/>
    </row>
    <row r="6" spans="1:13" ht="30" customHeight="1" x14ac:dyDescent="0.5">
      <c r="A6" s="17" t="s">
        <v>149</v>
      </c>
      <c r="B6" s="12"/>
      <c r="C6" s="12"/>
      <c r="D6" s="12"/>
      <c r="E6" s="12"/>
      <c r="F6" s="12"/>
      <c r="G6" s="22">
        <v>437</v>
      </c>
      <c r="H6" s="22">
        <v>875</v>
      </c>
      <c r="I6" s="22">
        <v>1312</v>
      </c>
      <c r="J6" s="22">
        <v>1749</v>
      </c>
      <c r="K6" s="22">
        <v>2186</v>
      </c>
      <c r="L6" s="22">
        <v>2624</v>
      </c>
      <c r="M6" s="21"/>
    </row>
    <row r="7" spans="1:13" ht="30" customHeight="1" x14ac:dyDescent="0.5">
      <c r="A7" s="17" t="s">
        <v>150</v>
      </c>
      <c r="B7" s="12"/>
      <c r="C7" s="12"/>
      <c r="D7" s="12"/>
      <c r="E7" s="12"/>
      <c r="F7" s="12"/>
      <c r="G7" s="22">
        <v>300</v>
      </c>
      <c r="H7" s="22">
        <v>600</v>
      </c>
      <c r="I7" s="22">
        <v>900</v>
      </c>
      <c r="J7" s="22">
        <v>1199</v>
      </c>
      <c r="K7" s="22">
        <v>1499</v>
      </c>
      <c r="L7" s="22">
        <v>1799</v>
      </c>
      <c r="M7" s="21"/>
    </row>
    <row r="8" spans="1:13" ht="30" customHeight="1" x14ac:dyDescent="0.5">
      <c r="A8" s="17" t="s">
        <v>151</v>
      </c>
      <c r="B8" s="12"/>
      <c r="C8" s="12"/>
      <c r="D8" s="12"/>
      <c r="E8" s="12"/>
      <c r="F8" s="12"/>
      <c r="G8" s="22">
        <v>318</v>
      </c>
      <c r="H8" s="22">
        <v>637</v>
      </c>
      <c r="I8" s="22">
        <v>955</v>
      </c>
      <c r="J8" s="22">
        <v>1273</v>
      </c>
      <c r="K8" s="22">
        <v>1591</v>
      </c>
      <c r="L8" s="22">
        <v>1910</v>
      </c>
      <c r="M8" s="21"/>
    </row>
    <row r="9" spans="1:13" ht="30" customHeight="1" x14ac:dyDescent="0.5">
      <c r="A9" s="17" t="s">
        <v>4</v>
      </c>
      <c r="B9" s="12"/>
      <c r="C9" s="12"/>
      <c r="D9" s="12"/>
      <c r="E9" s="12"/>
      <c r="F9" s="12"/>
      <c r="G9" s="22">
        <v>397</v>
      </c>
      <c r="H9" s="22">
        <v>794</v>
      </c>
      <c r="I9" s="22">
        <v>1191</v>
      </c>
      <c r="J9" s="22">
        <v>1588</v>
      </c>
      <c r="K9" s="22">
        <v>1985</v>
      </c>
      <c r="L9" s="22">
        <v>2382</v>
      </c>
      <c r="M9" s="21"/>
    </row>
    <row r="10" spans="1:13" ht="30" customHeight="1" x14ac:dyDescent="0.5">
      <c r="A10" s="17" t="s">
        <v>152</v>
      </c>
      <c r="B10" s="12"/>
      <c r="C10" s="12"/>
      <c r="D10" s="12"/>
      <c r="E10" s="12"/>
      <c r="F10" s="12"/>
      <c r="G10" s="22">
        <v>522</v>
      </c>
      <c r="H10" s="22">
        <v>1043</v>
      </c>
      <c r="I10" s="22">
        <v>1565</v>
      </c>
      <c r="J10" s="22">
        <v>2087</v>
      </c>
      <c r="K10" s="22">
        <v>2608</v>
      </c>
      <c r="L10" s="22">
        <v>3130</v>
      </c>
      <c r="M10" s="21"/>
    </row>
    <row r="11" spans="1:13" ht="30" customHeight="1" x14ac:dyDescent="0.5">
      <c r="A11" s="17" t="s">
        <v>153</v>
      </c>
      <c r="B11" s="12"/>
      <c r="C11" s="12"/>
      <c r="D11" s="12"/>
      <c r="E11" s="12"/>
      <c r="F11" s="12"/>
      <c r="G11" s="22">
        <v>1036</v>
      </c>
      <c r="H11" s="22">
        <v>2073</v>
      </c>
      <c r="I11" s="22">
        <v>3109</v>
      </c>
      <c r="J11" s="22">
        <v>4145</v>
      </c>
      <c r="K11" s="22">
        <v>5182</v>
      </c>
      <c r="L11" s="22">
        <v>6218</v>
      </c>
      <c r="M11" s="21"/>
    </row>
    <row r="12" spans="1:13" ht="30" customHeight="1" x14ac:dyDescent="0.5">
      <c r="A12" s="17" t="s">
        <v>154</v>
      </c>
      <c r="B12" s="12"/>
      <c r="C12" s="12"/>
      <c r="D12" s="12"/>
      <c r="E12" s="12"/>
      <c r="F12" s="12"/>
      <c r="G12" s="22">
        <v>1424</v>
      </c>
      <c r="H12" s="22">
        <v>2849</v>
      </c>
      <c r="I12" s="22">
        <v>4273</v>
      </c>
      <c r="J12" s="22">
        <v>5697</v>
      </c>
      <c r="K12" s="22">
        <v>7121</v>
      </c>
      <c r="L12" s="22">
        <v>8546</v>
      </c>
      <c r="M12" s="21"/>
    </row>
    <row r="13" spans="1:13" ht="30" customHeight="1" x14ac:dyDescent="0.5">
      <c r="A13" s="17" t="s">
        <v>155</v>
      </c>
      <c r="B13" s="12"/>
      <c r="C13" s="12"/>
      <c r="D13" s="12"/>
      <c r="E13" s="12"/>
      <c r="F13" s="12"/>
      <c r="G13" s="22">
        <v>1799</v>
      </c>
      <c r="H13" s="22">
        <v>3599</v>
      </c>
      <c r="I13" s="22">
        <v>5398</v>
      </c>
      <c r="J13" s="22">
        <v>7197</v>
      </c>
      <c r="K13" s="22">
        <v>8996</v>
      </c>
      <c r="L13" s="22">
        <v>10796</v>
      </c>
      <c r="M13" s="21"/>
    </row>
    <row r="14" spans="1:13" ht="30" customHeight="1" x14ac:dyDescent="0.5">
      <c r="A14" s="17" t="s">
        <v>156</v>
      </c>
      <c r="B14" s="12"/>
      <c r="C14" s="12"/>
      <c r="D14" s="12"/>
      <c r="E14" s="12"/>
      <c r="F14" s="12"/>
      <c r="G14" s="22">
        <v>2067</v>
      </c>
      <c r="H14" s="22">
        <v>4134</v>
      </c>
      <c r="I14" s="22">
        <v>6202</v>
      </c>
      <c r="J14" s="22">
        <v>8269</v>
      </c>
      <c r="K14" s="22">
        <v>10336</v>
      </c>
      <c r="L14" s="22">
        <v>12403</v>
      </c>
      <c r="M14" s="21"/>
    </row>
    <row r="15" spans="1:13" ht="30" customHeight="1" x14ac:dyDescent="0.5">
      <c r="A15" s="17" t="s">
        <v>157</v>
      </c>
      <c r="B15" s="12"/>
      <c r="C15" s="12"/>
      <c r="D15" s="12"/>
      <c r="E15" s="12"/>
      <c r="F15" s="12"/>
      <c r="G15" s="22">
        <v>2999</v>
      </c>
      <c r="H15" s="22">
        <v>5999</v>
      </c>
      <c r="I15" s="22">
        <v>8998</v>
      </c>
      <c r="J15" s="22">
        <v>11997</v>
      </c>
      <c r="K15" s="22">
        <v>14996</v>
      </c>
      <c r="L15" s="22">
        <v>17996</v>
      </c>
      <c r="M15" s="21"/>
    </row>
    <row r="16" spans="1:13" ht="30" customHeight="1" x14ac:dyDescent="0.5">
      <c r="A16" s="17" t="s">
        <v>158</v>
      </c>
      <c r="B16" s="12"/>
      <c r="C16" s="12"/>
      <c r="D16" s="12"/>
      <c r="E16" s="12"/>
      <c r="F16" s="12"/>
      <c r="G16" s="22">
        <v>3749</v>
      </c>
      <c r="H16" s="22">
        <v>7499</v>
      </c>
      <c r="I16" s="22">
        <v>11248</v>
      </c>
      <c r="J16" s="22">
        <v>14997</v>
      </c>
      <c r="K16" s="22">
        <v>18746</v>
      </c>
      <c r="L16" s="22">
        <v>22496</v>
      </c>
      <c r="M16" s="21"/>
    </row>
    <row r="17" spans="1:13" ht="30" customHeight="1" x14ac:dyDescent="0.5">
      <c r="A17" s="107" t="s">
        <v>159</v>
      </c>
      <c r="B17" s="107" t="s">
        <v>15</v>
      </c>
      <c r="C17" s="107" t="s">
        <v>16</v>
      </c>
      <c r="D17" s="107" t="s">
        <v>17</v>
      </c>
      <c r="E17" s="107" t="s">
        <v>141</v>
      </c>
      <c r="F17" s="107" t="s">
        <v>160</v>
      </c>
      <c r="G17" s="107"/>
      <c r="H17" s="107"/>
      <c r="I17" s="107"/>
      <c r="J17" s="107"/>
      <c r="K17" s="107"/>
      <c r="L17" s="107"/>
      <c r="M17" s="21"/>
    </row>
    <row r="18" spans="1:13" ht="30" customHeight="1" x14ac:dyDescent="0.5">
      <c r="A18" s="107"/>
      <c r="B18" s="107"/>
      <c r="C18" s="107"/>
      <c r="D18" s="107"/>
      <c r="E18" s="107"/>
      <c r="F18" s="11" t="s">
        <v>8</v>
      </c>
      <c r="G18" s="11" t="s">
        <v>0</v>
      </c>
      <c r="H18" s="11" t="s">
        <v>143</v>
      </c>
      <c r="I18" s="11" t="s">
        <v>144</v>
      </c>
      <c r="J18" s="11" t="s">
        <v>145</v>
      </c>
      <c r="K18" s="11" t="s">
        <v>146</v>
      </c>
      <c r="L18" s="11" t="s">
        <v>147</v>
      </c>
      <c r="M18" s="21"/>
    </row>
    <row r="19" spans="1:13" ht="30" customHeight="1" x14ac:dyDescent="0.5">
      <c r="A19" s="17" t="s">
        <v>2</v>
      </c>
      <c r="B19" s="12"/>
      <c r="C19" s="12"/>
      <c r="D19" s="12"/>
      <c r="E19" s="12"/>
      <c r="F19" s="12"/>
      <c r="G19" s="22">
        <v>46</v>
      </c>
      <c r="H19" s="22">
        <v>91</v>
      </c>
      <c r="I19" s="22">
        <v>137</v>
      </c>
      <c r="J19" s="22">
        <v>182</v>
      </c>
      <c r="K19" s="22">
        <v>228</v>
      </c>
      <c r="L19" s="22">
        <v>274</v>
      </c>
      <c r="M19" s="21"/>
    </row>
    <row r="20" spans="1:13" ht="30" customHeight="1" x14ac:dyDescent="0.5">
      <c r="A20" s="17" t="s">
        <v>148</v>
      </c>
      <c r="B20" s="12"/>
      <c r="C20" s="12"/>
      <c r="D20" s="12"/>
      <c r="E20" s="12"/>
      <c r="F20" s="12"/>
      <c r="G20" s="22">
        <v>67</v>
      </c>
      <c r="H20" s="22">
        <v>134</v>
      </c>
      <c r="I20" s="22">
        <v>201</v>
      </c>
      <c r="J20" s="22">
        <v>267</v>
      </c>
      <c r="K20" s="22">
        <v>334</v>
      </c>
      <c r="L20" s="22">
        <v>401</v>
      </c>
      <c r="M20" s="21"/>
    </row>
    <row r="21" spans="1:13" ht="30" customHeight="1" x14ac:dyDescent="0.5">
      <c r="A21" s="17" t="s">
        <v>149</v>
      </c>
      <c r="B21" s="12"/>
      <c r="C21" s="12"/>
      <c r="D21" s="12"/>
      <c r="E21" s="12"/>
      <c r="F21" s="12"/>
      <c r="G21" s="22">
        <v>109</v>
      </c>
      <c r="H21" s="22">
        <v>219</v>
      </c>
      <c r="I21" s="22">
        <v>328</v>
      </c>
      <c r="J21" s="22">
        <v>437</v>
      </c>
      <c r="K21" s="22">
        <v>547</v>
      </c>
      <c r="L21" s="22">
        <v>656</v>
      </c>
      <c r="M21" s="21"/>
    </row>
    <row r="22" spans="1:13" ht="30" customHeight="1" x14ac:dyDescent="0.5">
      <c r="A22" s="17" t="s">
        <v>150</v>
      </c>
      <c r="B22" s="12"/>
      <c r="C22" s="12"/>
      <c r="D22" s="12"/>
      <c r="E22" s="12"/>
      <c r="F22" s="12"/>
      <c r="G22" s="22">
        <v>75</v>
      </c>
      <c r="H22" s="22">
        <v>150</v>
      </c>
      <c r="I22" s="22">
        <v>225</v>
      </c>
      <c r="J22" s="22">
        <v>300</v>
      </c>
      <c r="K22" s="22">
        <v>375</v>
      </c>
      <c r="L22" s="22">
        <v>450</v>
      </c>
      <c r="M22" s="21"/>
    </row>
    <row r="23" spans="1:13" ht="30" customHeight="1" x14ac:dyDescent="0.5">
      <c r="A23" s="17" t="s">
        <v>151</v>
      </c>
      <c r="B23" s="12"/>
      <c r="C23" s="12"/>
      <c r="D23" s="12"/>
      <c r="E23" s="12"/>
      <c r="F23" s="12"/>
      <c r="G23" s="22">
        <v>80</v>
      </c>
      <c r="H23" s="22">
        <v>159</v>
      </c>
      <c r="I23" s="22">
        <v>239</v>
      </c>
      <c r="J23" s="22">
        <v>318</v>
      </c>
      <c r="K23" s="22">
        <v>398</v>
      </c>
      <c r="L23" s="22">
        <v>477</v>
      </c>
      <c r="M23" s="21"/>
    </row>
    <row r="24" spans="1:13" ht="30" customHeight="1" x14ac:dyDescent="0.5">
      <c r="A24" s="17" t="s">
        <v>4</v>
      </c>
      <c r="B24" s="12"/>
      <c r="C24" s="12"/>
      <c r="D24" s="12"/>
      <c r="E24" s="12"/>
      <c r="F24" s="12"/>
      <c r="G24" s="22">
        <v>99</v>
      </c>
      <c r="H24" s="22">
        <v>198</v>
      </c>
      <c r="I24" s="22">
        <v>298</v>
      </c>
      <c r="J24" s="22">
        <v>397</v>
      </c>
      <c r="K24" s="22">
        <v>496</v>
      </c>
      <c r="L24" s="22">
        <v>595</v>
      </c>
      <c r="M24" s="21"/>
    </row>
    <row r="25" spans="1:13" ht="30" customHeight="1" x14ac:dyDescent="0.5">
      <c r="A25" s="17" t="s">
        <v>152</v>
      </c>
      <c r="B25" s="12"/>
      <c r="C25" s="12"/>
      <c r="D25" s="12"/>
      <c r="E25" s="12"/>
      <c r="F25" s="12"/>
      <c r="G25" s="22">
        <v>130</v>
      </c>
      <c r="H25" s="22">
        <v>261</v>
      </c>
      <c r="I25" s="22">
        <v>391</v>
      </c>
      <c r="J25" s="22">
        <v>522</v>
      </c>
      <c r="K25" s="22">
        <v>652</v>
      </c>
      <c r="L25" s="22">
        <v>782</v>
      </c>
      <c r="M25" s="21"/>
    </row>
    <row r="26" spans="1:13" ht="30" customHeight="1" x14ac:dyDescent="0.5">
      <c r="A26" s="17" t="s">
        <v>153</v>
      </c>
      <c r="B26" s="12"/>
      <c r="C26" s="12"/>
      <c r="D26" s="12"/>
      <c r="E26" s="12"/>
      <c r="F26" s="12"/>
      <c r="G26" s="22">
        <v>259</v>
      </c>
      <c r="H26" s="22">
        <v>518</v>
      </c>
      <c r="I26" s="22">
        <v>777</v>
      </c>
      <c r="J26" s="22">
        <v>1036</v>
      </c>
      <c r="K26" s="22">
        <v>1295</v>
      </c>
      <c r="L26" s="22">
        <v>1554</v>
      </c>
      <c r="M26" s="21"/>
    </row>
    <row r="27" spans="1:13" ht="30" customHeight="1" x14ac:dyDescent="0.5">
      <c r="A27" s="17" t="s">
        <v>154</v>
      </c>
      <c r="B27" s="12"/>
      <c r="C27" s="12"/>
      <c r="D27" s="12"/>
      <c r="E27" s="12"/>
      <c r="F27" s="12"/>
      <c r="G27" s="22">
        <v>356</v>
      </c>
      <c r="H27" s="22">
        <v>712</v>
      </c>
      <c r="I27" s="22">
        <v>1068</v>
      </c>
      <c r="J27" s="22">
        <v>1424</v>
      </c>
      <c r="K27" s="22">
        <v>1780</v>
      </c>
      <c r="L27" s="22">
        <v>2136</v>
      </c>
      <c r="M27" s="21"/>
    </row>
    <row r="28" spans="1:13" ht="30" customHeight="1" x14ac:dyDescent="0.5">
      <c r="A28" s="17" t="s">
        <v>155</v>
      </c>
      <c r="B28" s="12"/>
      <c r="C28" s="12"/>
      <c r="D28" s="12"/>
      <c r="E28" s="12"/>
      <c r="F28" s="12"/>
      <c r="G28" s="22">
        <v>450</v>
      </c>
      <c r="H28" s="22">
        <v>900</v>
      </c>
      <c r="I28" s="22">
        <v>1349</v>
      </c>
      <c r="J28" s="22">
        <v>1799</v>
      </c>
      <c r="K28" s="22">
        <v>2249</v>
      </c>
      <c r="L28" s="22">
        <v>2699</v>
      </c>
      <c r="M28" s="21"/>
    </row>
    <row r="29" spans="1:13" ht="30" customHeight="1" x14ac:dyDescent="0.5">
      <c r="A29" s="17" t="s">
        <v>156</v>
      </c>
      <c r="B29" s="12"/>
      <c r="C29" s="12"/>
      <c r="D29" s="12"/>
      <c r="E29" s="12"/>
      <c r="F29" s="12"/>
      <c r="G29" s="22">
        <v>517</v>
      </c>
      <c r="H29" s="22">
        <v>1034</v>
      </c>
      <c r="I29" s="22">
        <v>1550</v>
      </c>
      <c r="J29" s="22">
        <v>2067</v>
      </c>
      <c r="K29" s="22">
        <v>2584</v>
      </c>
      <c r="L29" s="22">
        <v>3101</v>
      </c>
      <c r="M29" s="21"/>
    </row>
    <row r="30" spans="1:13" ht="30" customHeight="1" x14ac:dyDescent="0.5">
      <c r="A30" s="17" t="s">
        <v>157</v>
      </c>
      <c r="B30" s="12"/>
      <c r="C30" s="12"/>
      <c r="D30" s="12"/>
      <c r="E30" s="12"/>
      <c r="F30" s="12"/>
      <c r="G30" s="22">
        <v>750</v>
      </c>
      <c r="H30" s="22">
        <v>1500</v>
      </c>
      <c r="I30" s="22">
        <v>2249</v>
      </c>
      <c r="J30" s="22">
        <v>2999</v>
      </c>
      <c r="K30" s="22">
        <v>3749</v>
      </c>
      <c r="L30" s="22">
        <v>4499</v>
      </c>
      <c r="M30" s="21"/>
    </row>
    <row r="31" spans="1:13" ht="30" customHeight="1" x14ac:dyDescent="0.5">
      <c r="A31" s="17" t="s">
        <v>158</v>
      </c>
      <c r="B31" s="12"/>
      <c r="C31" s="12"/>
      <c r="D31" s="12"/>
      <c r="E31" s="12"/>
      <c r="F31" s="12"/>
      <c r="G31" s="22">
        <v>937</v>
      </c>
      <c r="H31" s="22">
        <v>1875</v>
      </c>
      <c r="I31" s="22">
        <v>2812</v>
      </c>
      <c r="J31" s="22">
        <v>3749</v>
      </c>
      <c r="K31" s="22">
        <v>4687</v>
      </c>
      <c r="L31" s="22">
        <v>5624</v>
      </c>
      <c r="M31" s="21"/>
    </row>
    <row r="32" spans="1:13" ht="30" customHeight="1" x14ac:dyDescent="0.5">
      <c r="A32" s="107" t="s">
        <v>161</v>
      </c>
      <c r="B32" s="107" t="s">
        <v>15</v>
      </c>
      <c r="C32" s="107" t="s">
        <v>16</v>
      </c>
      <c r="D32" s="107" t="s">
        <v>17</v>
      </c>
      <c r="E32" s="107" t="s">
        <v>141</v>
      </c>
      <c r="F32" s="107" t="s">
        <v>162</v>
      </c>
      <c r="G32" s="107"/>
      <c r="H32" s="107"/>
      <c r="I32" s="107"/>
      <c r="J32" s="107"/>
      <c r="K32" s="107"/>
      <c r="L32" s="107"/>
      <c r="M32" s="21"/>
    </row>
    <row r="33" spans="1:13" ht="30" customHeight="1" x14ac:dyDescent="0.5">
      <c r="A33" s="107"/>
      <c r="B33" s="107"/>
      <c r="C33" s="107"/>
      <c r="D33" s="107"/>
      <c r="E33" s="107"/>
      <c r="F33" s="11" t="s">
        <v>8</v>
      </c>
      <c r="G33" s="11" t="s">
        <v>0</v>
      </c>
      <c r="H33" s="11" t="s">
        <v>143</v>
      </c>
      <c r="I33" s="11" t="s">
        <v>144</v>
      </c>
      <c r="J33" s="11" t="s">
        <v>145</v>
      </c>
      <c r="K33" s="11" t="s">
        <v>146</v>
      </c>
      <c r="L33" s="11" t="s">
        <v>147</v>
      </c>
      <c r="M33" s="21"/>
    </row>
    <row r="34" spans="1:13" ht="30" customHeight="1" x14ac:dyDescent="0.5">
      <c r="A34" s="12" t="s">
        <v>3</v>
      </c>
      <c r="B34" s="12"/>
      <c r="C34" s="12"/>
      <c r="D34" s="12"/>
      <c r="E34" s="12">
        <v>100</v>
      </c>
      <c r="F34" s="12"/>
      <c r="G34" s="17">
        <v>249</v>
      </c>
      <c r="H34" s="17">
        <v>462</v>
      </c>
      <c r="I34" s="17">
        <v>648</v>
      </c>
      <c r="J34" s="17">
        <v>864</v>
      </c>
      <c r="K34" s="17">
        <v>1080</v>
      </c>
      <c r="L34" s="17">
        <v>1296</v>
      </c>
      <c r="M34" s="21"/>
    </row>
    <row r="35" spans="1:13" ht="30" customHeight="1" x14ac:dyDescent="0.5">
      <c r="A35" s="122" t="s">
        <v>163</v>
      </c>
      <c r="B35" s="122" t="s">
        <v>15</v>
      </c>
      <c r="C35" s="122" t="s">
        <v>16</v>
      </c>
      <c r="D35" s="122" t="s">
        <v>17</v>
      </c>
      <c r="E35" s="122" t="s">
        <v>141</v>
      </c>
      <c r="F35" s="119" t="s">
        <v>18</v>
      </c>
      <c r="G35" s="120"/>
      <c r="H35" s="120"/>
      <c r="I35" s="120"/>
      <c r="J35" s="120"/>
      <c r="K35" s="120"/>
      <c r="L35" s="121"/>
      <c r="M35" s="21"/>
    </row>
    <row r="36" spans="1:13" ht="30" customHeight="1" x14ac:dyDescent="0.5">
      <c r="A36" s="123"/>
      <c r="B36" s="123"/>
      <c r="C36" s="123"/>
      <c r="D36" s="123"/>
      <c r="E36" s="123"/>
      <c r="F36" s="11" t="s">
        <v>8</v>
      </c>
      <c r="G36" s="11" t="s">
        <v>0</v>
      </c>
      <c r="H36" s="11" t="s">
        <v>143</v>
      </c>
      <c r="I36" s="11" t="s">
        <v>144</v>
      </c>
      <c r="J36" s="11" t="s">
        <v>145</v>
      </c>
      <c r="K36" s="11" t="s">
        <v>146</v>
      </c>
      <c r="L36" s="11" t="s">
        <v>147</v>
      </c>
      <c r="M36" s="21"/>
    </row>
    <row r="37" spans="1:13" ht="30" customHeight="1" x14ac:dyDescent="0.5">
      <c r="A37" s="12" t="s">
        <v>7</v>
      </c>
      <c r="B37" s="12">
        <v>4</v>
      </c>
      <c r="C37" s="12">
        <v>8</v>
      </c>
      <c r="D37" s="12" t="s">
        <v>19</v>
      </c>
      <c r="E37" s="12">
        <v>120</v>
      </c>
      <c r="F37" s="12">
        <v>66.58</v>
      </c>
      <c r="G37" s="23">
        <v>799</v>
      </c>
      <c r="H37" s="23">
        <v>1598</v>
      </c>
      <c r="I37" s="23">
        <v>2397</v>
      </c>
      <c r="J37" s="23">
        <v>3196</v>
      </c>
      <c r="K37" s="23">
        <v>3995</v>
      </c>
      <c r="L37" s="23">
        <v>4794</v>
      </c>
      <c r="M37" s="21"/>
    </row>
    <row r="38" spans="1:13" ht="30" customHeight="1" x14ac:dyDescent="0.5">
      <c r="A38" s="12" t="s">
        <v>164</v>
      </c>
      <c r="B38" s="12">
        <v>4</v>
      </c>
      <c r="C38" s="12">
        <v>8</v>
      </c>
      <c r="D38" s="12" t="s">
        <v>19</v>
      </c>
      <c r="E38" s="12">
        <v>240</v>
      </c>
      <c r="F38" s="12">
        <v>84.08</v>
      </c>
      <c r="G38" s="23">
        <v>1009</v>
      </c>
      <c r="H38" s="23">
        <v>2018</v>
      </c>
      <c r="I38" s="23">
        <v>3027</v>
      </c>
      <c r="J38" s="23">
        <v>4036</v>
      </c>
      <c r="K38" s="23">
        <v>5045</v>
      </c>
      <c r="L38" s="23">
        <v>6054</v>
      </c>
      <c r="M38" s="21"/>
    </row>
    <row r="39" spans="1:13" ht="30" customHeight="1" x14ac:dyDescent="0.5">
      <c r="A39" s="12" t="s">
        <v>165</v>
      </c>
      <c r="B39" s="12">
        <v>4</v>
      </c>
      <c r="C39" s="12">
        <v>8</v>
      </c>
      <c r="D39" s="12" t="s">
        <v>19</v>
      </c>
      <c r="E39" s="12">
        <v>480</v>
      </c>
      <c r="F39" s="12">
        <v>132.41999999999999</v>
      </c>
      <c r="G39" s="23">
        <v>1589</v>
      </c>
      <c r="H39" s="23">
        <v>3178</v>
      </c>
      <c r="I39" s="23">
        <v>4767</v>
      </c>
      <c r="J39" s="23">
        <v>6356</v>
      </c>
      <c r="K39" s="23">
        <v>7945</v>
      </c>
      <c r="L39" s="23">
        <v>9534</v>
      </c>
      <c r="M39" s="21"/>
    </row>
    <row r="40" spans="1:13" ht="30" customHeight="1" x14ac:dyDescent="0.5">
      <c r="A40" s="12" t="s">
        <v>166</v>
      </c>
      <c r="B40" s="12">
        <v>8</v>
      </c>
      <c r="C40" s="12">
        <v>16</v>
      </c>
      <c r="D40" s="12" t="s">
        <v>19</v>
      </c>
      <c r="E40" s="12">
        <v>120</v>
      </c>
      <c r="F40" s="12">
        <v>96.58</v>
      </c>
      <c r="G40" s="23">
        <v>1159</v>
      </c>
      <c r="H40" s="23">
        <v>2318</v>
      </c>
      <c r="I40" s="23">
        <v>3477</v>
      </c>
      <c r="J40" s="23">
        <v>4636</v>
      </c>
      <c r="K40" s="23">
        <v>5795</v>
      </c>
      <c r="L40" s="23">
        <v>6954</v>
      </c>
      <c r="M40" s="21"/>
    </row>
    <row r="41" spans="1:13" ht="30" customHeight="1" x14ac:dyDescent="0.5">
      <c r="A41" s="12" t="s">
        <v>167</v>
      </c>
      <c r="B41" s="12">
        <v>8</v>
      </c>
      <c r="C41" s="12">
        <v>16</v>
      </c>
      <c r="D41" s="12" t="s">
        <v>19</v>
      </c>
      <c r="E41" s="12">
        <v>240</v>
      </c>
      <c r="F41" s="12">
        <v>120.75</v>
      </c>
      <c r="G41" s="23">
        <v>1449</v>
      </c>
      <c r="H41" s="23">
        <v>2898</v>
      </c>
      <c r="I41" s="23">
        <v>4347</v>
      </c>
      <c r="J41" s="23">
        <v>5796</v>
      </c>
      <c r="K41" s="23">
        <v>7245</v>
      </c>
      <c r="L41" s="23">
        <v>8694</v>
      </c>
      <c r="M41" s="21"/>
    </row>
    <row r="42" spans="1:13" ht="30" customHeight="1" x14ac:dyDescent="0.5">
      <c r="A42" s="12" t="s">
        <v>168</v>
      </c>
      <c r="B42" s="12">
        <v>8</v>
      </c>
      <c r="C42" s="12">
        <v>16</v>
      </c>
      <c r="D42" s="12" t="s">
        <v>19</v>
      </c>
      <c r="E42" s="12">
        <v>480</v>
      </c>
      <c r="F42" s="12">
        <v>168.25</v>
      </c>
      <c r="G42" s="23">
        <v>2019</v>
      </c>
      <c r="H42" s="23">
        <v>4038</v>
      </c>
      <c r="I42" s="23">
        <v>6057</v>
      </c>
      <c r="J42" s="23">
        <v>8076</v>
      </c>
      <c r="K42" s="23">
        <v>10095</v>
      </c>
      <c r="L42" s="23">
        <v>12114</v>
      </c>
      <c r="M42" s="21"/>
    </row>
    <row r="43" spans="1:13" ht="30" customHeight="1" x14ac:dyDescent="0.5">
      <c r="A43" s="12" t="s">
        <v>169</v>
      </c>
      <c r="B43" s="12">
        <v>4</v>
      </c>
      <c r="C43" s="12">
        <v>8</v>
      </c>
      <c r="D43" s="12" t="s">
        <v>19</v>
      </c>
      <c r="E43" s="12">
        <v>160</v>
      </c>
      <c r="F43" s="23">
        <v>125</v>
      </c>
      <c r="G43" s="23">
        <v>1245</v>
      </c>
      <c r="H43" s="23">
        <v>2310</v>
      </c>
      <c r="I43" s="23">
        <v>3240</v>
      </c>
      <c r="J43" s="12">
        <f t="shared" ref="J43:J50" si="0">I43+G43</f>
        <v>4485</v>
      </c>
      <c r="K43" s="12">
        <f t="shared" ref="K43:K50" si="1">I43+H43</f>
        <v>5550</v>
      </c>
      <c r="L43" s="12">
        <f t="shared" ref="L43:L66" si="2">I43*2</f>
        <v>6480</v>
      </c>
      <c r="M43" s="21"/>
    </row>
    <row r="44" spans="1:13" ht="30" customHeight="1" x14ac:dyDescent="0.5">
      <c r="A44" s="12" t="s">
        <v>170</v>
      </c>
      <c r="B44" s="12">
        <v>4</v>
      </c>
      <c r="C44" s="12">
        <v>8</v>
      </c>
      <c r="D44" s="12" t="s">
        <v>19</v>
      </c>
      <c r="E44" s="12">
        <v>320</v>
      </c>
      <c r="F44" s="23">
        <v>163</v>
      </c>
      <c r="G44" s="23">
        <v>1619.04</v>
      </c>
      <c r="H44" s="23">
        <v>3003.12</v>
      </c>
      <c r="I44" s="23">
        <v>4212</v>
      </c>
      <c r="J44" s="12">
        <f t="shared" si="0"/>
        <v>5831.04</v>
      </c>
      <c r="K44" s="12">
        <f t="shared" si="1"/>
        <v>7215.12</v>
      </c>
      <c r="L44" s="12">
        <f t="shared" si="2"/>
        <v>8424</v>
      </c>
      <c r="M44" s="21"/>
    </row>
    <row r="45" spans="1:13" ht="30" customHeight="1" x14ac:dyDescent="0.5">
      <c r="A45" s="12" t="s">
        <v>171</v>
      </c>
      <c r="B45" s="12">
        <v>6</v>
      </c>
      <c r="C45" s="12">
        <v>12</v>
      </c>
      <c r="D45" s="12" t="s">
        <v>19</v>
      </c>
      <c r="E45" s="12">
        <v>160</v>
      </c>
      <c r="F45" s="23">
        <v>138</v>
      </c>
      <c r="G45" s="23">
        <v>1369.56</v>
      </c>
      <c r="H45" s="23">
        <v>2541.12</v>
      </c>
      <c r="I45" s="23">
        <v>3564</v>
      </c>
      <c r="J45" s="12">
        <f t="shared" si="0"/>
        <v>4933.5599999999995</v>
      </c>
      <c r="K45" s="12">
        <f t="shared" si="1"/>
        <v>6105.12</v>
      </c>
      <c r="L45" s="12">
        <f t="shared" si="2"/>
        <v>7128</v>
      </c>
      <c r="M45" s="21"/>
    </row>
    <row r="46" spans="1:13" ht="30" customHeight="1" x14ac:dyDescent="0.5">
      <c r="A46" s="12" t="s">
        <v>172</v>
      </c>
      <c r="B46" s="12">
        <v>6</v>
      </c>
      <c r="C46" s="12">
        <v>12</v>
      </c>
      <c r="D46" s="12" t="s">
        <v>19</v>
      </c>
      <c r="E46" s="12">
        <v>240</v>
      </c>
      <c r="F46" s="23">
        <v>170</v>
      </c>
      <c r="G46" s="23">
        <v>1693.2</v>
      </c>
      <c r="H46" s="23">
        <v>3141.6</v>
      </c>
      <c r="I46" s="23">
        <v>4406.3999999999996</v>
      </c>
      <c r="J46" s="12">
        <f t="shared" si="0"/>
        <v>6099.5999999999995</v>
      </c>
      <c r="K46" s="12">
        <f t="shared" si="1"/>
        <v>7548</v>
      </c>
      <c r="L46" s="12">
        <f t="shared" si="2"/>
        <v>8812.7999999999993</v>
      </c>
      <c r="M46" s="21"/>
    </row>
    <row r="47" spans="1:13" ht="30" customHeight="1" x14ac:dyDescent="0.5">
      <c r="A47" s="12" t="s">
        <v>173</v>
      </c>
      <c r="B47" s="12">
        <v>8</v>
      </c>
      <c r="C47" s="12">
        <v>16</v>
      </c>
      <c r="D47" s="12" t="s">
        <v>19</v>
      </c>
      <c r="E47" s="12">
        <v>240</v>
      </c>
      <c r="F47" s="23">
        <v>225</v>
      </c>
      <c r="G47" s="23">
        <v>2241</v>
      </c>
      <c r="H47" s="23">
        <v>4158</v>
      </c>
      <c r="I47" s="23">
        <v>5832</v>
      </c>
      <c r="J47" s="12">
        <f t="shared" si="0"/>
        <v>8073</v>
      </c>
      <c r="K47" s="12">
        <f t="shared" si="1"/>
        <v>9990</v>
      </c>
      <c r="L47" s="12">
        <f t="shared" si="2"/>
        <v>11664</v>
      </c>
      <c r="M47" s="21"/>
    </row>
    <row r="48" spans="1:13" ht="30" customHeight="1" x14ac:dyDescent="0.5">
      <c r="A48" s="12" t="s">
        <v>174</v>
      </c>
      <c r="B48" s="12">
        <v>8</v>
      </c>
      <c r="C48" s="12">
        <v>16</v>
      </c>
      <c r="D48" s="12" t="s">
        <v>19</v>
      </c>
      <c r="E48" s="12">
        <v>480</v>
      </c>
      <c r="F48" s="23">
        <v>275</v>
      </c>
      <c r="G48" s="23">
        <v>2739</v>
      </c>
      <c r="H48" s="23">
        <v>5082</v>
      </c>
      <c r="I48" s="23">
        <v>7128</v>
      </c>
      <c r="J48" s="12">
        <f t="shared" si="0"/>
        <v>9867</v>
      </c>
      <c r="K48" s="12">
        <f t="shared" si="1"/>
        <v>12210</v>
      </c>
      <c r="L48" s="12">
        <f t="shared" si="2"/>
        <v>14256</v>
      </c>
      <c r="M48" s="21"/>
    </row>
    <row r="49" spans="1:13" ht="30" customHeight="1" x14ac:dyDescent="0.5">
      <c r="A49" s="12" t="s">
        <v>175</v>
      </c>
      <c r="B49" s="12">
        <v>4</v>
      </c>
      <c r="C49" s="12">
        <v>10</v>
      </c>
      <c r="D49" s="12" t="s">
        <v>19</v>
      </c>
      <c r="E49" s="12">
        <v>480</v>
      </c>
      <c r="F49" s="23">
        <v>475</v>
      </c>
      <c r="G49" s="23">
        <v>4731</v>
      </c>
      <c r="H49" s="23">
        <v>8778</v>
      </c>
      <c r="I49" s="23">
        <v>12312</v>
      </c>
      <c r="J49" s="12">
        <f t="shared" si="0"/>
        <v>17043</v>
      </c>
      <c r="K49" s="12">
        <f t="shared" si="1"/>
        <v>21090</v>
      </c>
      <c r="L49" s="12">
        <f t="shared" si="2"/>
        <v>24624</v>
      </c>
      <c r="M49" s="21"/>
    </row>
    <row r="50" spans="1:13" ht="30" customHeight="1" x14ac:dyDescent="0.5">
      <c r="A50" s="12" t="s">
        <v>176</v>
      </c>
      <c r="B50" s="12">
        <v>8</v>
      </c>
      <c r="C50" s="12">
        <v>16</v>
      </c>
      <c r="D50" s="12" t="s">
        <v>19</v>
      </c>
      <c r="E50" s="12">
        <v>480</v>
      </c>
      <c r="F50" s="23">
        <v>750</v>
      </c>
      <c r="G50" s="23">
        <v>7470</v>
      </c>
      <c r="H50" s="23">
        <v>13860</v>
      </c>
      <c r="I50" s="23">
        <v>19440</v>
      </c>
      <c r="J50" s="12">
        <f t="shared" si="0"/>
        <v>26910</v>
      </c>
      <c r="K50" s="12">
        <f t="shared" si="1"/>
        <v>33300</v>
      </c>
      <c r="L50" s="12">
        <f t="shared" si="2"/>
        <v>38880</v>
      </c>
      <c r="M50" s="21"/>
    </row>
    <row r="51" spans="1:13" ht="30" customHeight="1" x14ac:dyDescent="0.5">
      <c r="A51" s="12" t="s">
        <v>177</v>
      </c>
      <c r="B51" s="12">
        <v>12</v>
      </c>
      <c r="C51" s="12">
        <v>46</v>
      </c>
      <c r="D51" s="12" t="s">
        <v>19</v>
      </c>
      <c r="E51" s="12">
        <v>1000</v>
      </c>
      <c r="F51" s="23">
        <v>1200</v>
      </c>
      <c r="G51" s="23">
        <f>F51*12</f>
        <v>14400</v>
      </c>
      <c r="H51" s="23">
        <f>G51*2</f>
        <v>28800</v>
      </c>
      <c r="I51" s="23">
        <f>G51*3</f>
        <v>43200</v>
      </c>
      <c r="J51" s="12">
        <f>G51*4</f>
        <v>57600</v>
      </c>
      <c r="K51" s="12">
        <f>G51*5</f>
        <v>72000</v>
      </c>
      <c r="L51" s="12">
        <f t="shared" si="2"/>
        <v>86400</v>
      </c>
      <c r="M51" s="21"/>
    </row>
    <row r="52" spans="1:13" ht="30" customHeight="1" x14ac:dyDescent="0.5">
      <c r="A52" s="12" t="s">
        <v>178</v>
      </c>
      <c r="B52" s="12">
        <v>4</v>
      </c>
      <c r="C52" s="12">
        <v>8</v>
      </c>
      <c r="D52" s="12">
        <v>2</v>
      </c>
      <c r="E52" s="12">
        <v>320</v>
      </c>
      <c r="F52" s="12">
        <v>300</v>
      </c>
      <c r="G52" s="12">
        <v>2988</v>
      </c>
      <c r="H52" s="12">
        <v>5544</v>
      </c>
      <c r="I52" s="12">
        <v>7776</v>
      </c>
      <c r="J52" s="12">
        <f t="shared" ref="J52:J66" si="3">I52+G52</f>
        <v>10764</v>
      </c>
      <c r="K52" s="12">
        <f t="shared" ref="K52:K66" si="4">I52+H52</f>
        <v>13320</v>
      </c>
      <c r="L52" s="12">
        <f t="shared" si="2"/>
        <v>15552</v>
      </c>
      <c r="M52" s="21"/>
    </row>
    <row r="53" spans="1:13" ht="30" customHeight="1" x14ac:dyDescent="0.5">
      <c r="A53" s="12" t="s">
        <v>179</v>
      </c>
      <c r="B53" s="12">
        <v>6</v>
      </c>
      <c r="C53" s="12">
        <v>12</v>
      </c>
      <c r="D53" s="12">
        <v>2</v>
      </c>
      <c r="E53" s="12">
        <v>320</v>
      </c>
      <c r="F53" s="12">
        <v>313</v>
      </c>
      <c r="G53" s="12">
        <v>3113</v>
      </c>
      <c r="H53" s="12">
        <v>5775</v>
      </c>
      <c r="I53" s="12">
        <v>8100</v>
      </c>
      <c r="J53" s="12">
        <f t="shared" si="3"/>
        <v>11213</v>
      </c>
      <c r="K53" s="12">
        <f t="shared" si="4"/>
        <v>13875</v>
      </c>
      <c r="L53" s="12">
        <f t="shared" si="2"/>
        <v>16200</v>
      </c>
      <c r="M53" s="21"/>
    </row>
    <row r="54" spans="1:13" ht="30" customHeight="1" x14ac:dyDescent="0.5">
      <c r="A54" s="12" t="s">
        <v>180</v>
      </c>
      <c r="B54" s="12">
        <v>8</v>
      </c>
      <c r="C54" s="12">
        <v>16</v>
      </c>
      <c r="D54" s="12">
        <v>2</v>
      </c>
      <c r="E54" s="12">
        <v>320</v>
      </c>
      <c r="F54" s="12">
        <v>375</v>
      </c>
      <c r="G54" s="12">
        <v>3735</v>
      </c>
      <c r="H54" s="12">
        <v>6930</v>
      </c>
      <c r="I54" s="12">
        <v>9720</v>
      </c>
      <c r="J54" s="12">
        <f t="shared" si="3"/>
        <v>13455</v>
      </c>
      <c r="K54" s="12">
        <f t="shared" si="4"/>
        <v>16650</v>
      </c>
      <c r="L54" s="12">
        <f t="shared" si="2"/>
        <v>19440</v>
      </c>
      <c r="M54" s="21"/>
    </row>
    <row r="55" spans="1:13" ht="30" customHeight="1" x14ac:dyDescent="0.5">
      <c r="A55" s="12" t="s">
        <v>181</v>
      </c>
      <c r="B55" s="12">
        <v>8</v>
      </c>
      <c r="C55" s="12">
        <v>16</v>
      </c>
      <c r="D55" s="12">
        <v>4</v>
      </c>
      <c r="E55" s="12">
        <v>480</v>
      </c>
      <c r="F55" s="12">
        <v>500</v>
      </c>
      <c r="G55" s="12">
        <v>4980</v>
      </c>
      <c r="H55" s="12">
        <v>9240</v>
      </c>
      <c r="I55" s="12">
        <v>12960</v>
      </c>
      <c r="J55" s="12">
        <f t="shared" si="3"/>
        <v>17940</v>
      </c>
      <c r="K55" s="12">
        <f t="shared" si="4"/>
        <v>22200</v>
      </c>
      <c r="L55" s="12">
        <f t="shared" si="2"/>
        <v>25920</v>
      </c>
      <c r="M55" s="21"/>
    </row>
    <row r="56" spans="1:13" ht="30" customHeight="1" x14ac:dyDescent="0.5">
      <c r="A56" s="12" t="s">
        <v>182</v>
      </c>
      <c r="B56" s="12">
        <v>16</v>
      </c>
      <c r="C56" s="12">
        <v>32</v>
      </c>
      <c r="D56" s="12">
        <v>8</v>
      </c>
      <c r="E56" s="12">
        <v>600</v>
      </c>
      <c r="F56" s="12">
        <v>950</v>
      </c>
      <c r="G56" s="12">
        <v>9462</v>
      </c>
      <c r="H56" s="12">
        <v>17556</v>
      </c>
      <c r="I56" s="12">
        <v>24624</v>
      </c>
      <c r="J56" s="12">
        <f t="shared" si="3"/>
        <v>34086</v>
      </c>
      <c r="K56" s="12">
        <f t="shared" si="4"/>
        <v>42180</v>
      </c>
      <c r="L56" s="12">
        <f t="shared" si="2"/>
        <v>49248</v>
      </c>
      <c r="M56" s="21"/>
    </row>
    <row r="57" spans="1:13" ht="30" customHeight="1" x14ac:dyDescent="0.5">
      <c r="A57" s="12" t="s">
        <v>183</v>
      </c>
      <c r="B57" s="12">
        <v>16</v>
      </c>
      <c r="C57" s="12">
        <v>32</v>
      </c>
      <c r="D57" s="12">
        <v>12</v>
      </c>
      <c r="E57" s="12">
        <v>600</v>
      </c>
      <c r="F57" s="12">
        <v>1343</v>
      </c>
      <c r="G57" s="12">
        <v>13378</v>
      </c>
      <c r="H57" s="12">
        <v>24821</v>
      </c>
      <c r="I57" s="12">
        <v>34814</v>
      </c>
      <c r="J57" s="12">
        <f t="shared" si="3"/>
        <v>48192</v>
      </c>
      <c r="K57" s="12">
        <f t="shared" si="4"/>
        <v>59635</v>
      </c>
      <c r="L57" s="12">
        <f t="shared" si="2"/>
        <v>69628</v>
      </c>
      <c r="M57" s="21"/>
    </row>
    <row r="58" spans="1:13" ht="30" customHeight="1" x14ac:dyDescent="0.5">
      <c r="A58" s="12" t="s">
        <v>184</v>
      </c>
      <c r="B58" s="12">
        <v>32</v>
      </c>
      <c r="C58" s="12">
        <v>64</v>
      </c>
      <c r="D58" s="12">
        <v>12</v>
      </c>
      <c r="E58" s="12">
        <v>1000</v>
      </c>
      <c r="F58" s="12">
        <v>1656</v>
      </c>
      <c r="G58" s="12">
        <v>16490</v>
      </c>
      <c r="H58" s="12">
        <v>30596</v>
      </c>
      <c r="I58" s="12">
        <v>42914</v>
      </c>
      <c r="J58" s="12">
        <f t="shared" si="3"/>
        <v>59404</v>
      </c>
      <c r="K58" s="12">
        <f t="shared" si="4"/>
        <v>73510</v>
      </c>
      <c r="L58" s="12">
        <f t="shared" si="2"/>
        <v>85828</v>
      </c>
      <c r="M58" s="21"/>
    </row>
    <row r="59" spans="1:13" ht="30" customHeight="1" x14ac:dyDescent="0.5">
      <c r="A59" s="12" t="s">
        <v>185</v>
      </c>
      <c r="B59" s="12">
        <v>32</v>
      </c>
      <c r="C59" s="12">
        <v>64</v>
      </c>
      <c r="D59" s="12">
        <v>16</v>
      </c>
      <c r="E59" s="12">
        <v>1000</v>
      </c>
      <c r="F59" s="12">
        <v>1815</v>
      </c>
      <c r="G59" s="12">
        <v>18077</v>
      </c>
      <c r="H59" s="12">
        <v>33541</v>
      </c>
      <c r="I59" s="12">
        <v>47045</v>
      </c>
      <c r="J59" s="12">
        <f t="shared" si="3"/>
        <v>65122</v>
      </c>
      <c r="K59" s="12">
        <f t="shared" si="4"/>
        <v>80586</v>
      </c>
      <c r="L59" s="12">
        <f t="shared" si="2"/>
        <v>94090</v>
      </c>
      <c r="M59" s="21"/>
    </row>
    <row r="60" spans="1:13" ht="30" customHeight="1" x14ac:dyDescent="0.5">
      <c r="A60" s="12" t="s">
        <v>186</v>
      </c>
      <c r="B60" s="12">
        <v>32</v>
      </c>
      <c r="C60" s="12">
        <v>64</v>
      </c>
      <c r="D60" s="12">
        <v>24</v>
      </c>
      <c r="E60" s="12">
        <v>1000</v>
      </c>
      <c r="F60" s="12">
        <v>2656</v>
      </c>
      <c r="G60" s="12">
        <v>26450</v>
      </c>
      <c r="H60" s="12">
        <v>49076</v>
      </c>
      <c r="I60" s="12">
        <v>68834</v>
      </c>
      <c r="J60" s="12">
        <f t="shared" si="3"/>
        <v>95284</v>
      </c>
      <c r="K60" s="12">
        <f t="shared" si="4"/>
        <v>117910</v>
      </c>
      <c r="L60" s="12">
        <f t="shared" si="2"/>
        <v>137668</v>
      </c>
      <c r="M60" s="21"/>
    </row>
    <row r="61" spans="1:13" ht="30" customHeight="1" x14ac:dyDescent="0.5">
      <c r="A61" s="12" t="s">
        <v>187</v>
      </c>
      <c r="B61" s="12">
        <v>64</v>
      </c>
      <c r="C61" s="12">
        <v>128</v>
      </c>
      <c r="D61" s="12">
        <v>24</v>
      </c>
      <c r="E61" s="12">
        <v>1000</v>
      </c>
      <c r="F61" s="12">
        <v>3281</v>
      </c>
      <c r="G61" s="12">
        <v>32675</v>
      </c>
      <c r="H61" s="12">
        <v>60626</v>
      </c>
      <c r="I61" s="12">
        <v>85034</v>
      </c>
      <c r="J61" s="12">
        <f t="shared" si="3"/>
        <v>117709</v>
      </c>
      <c r="K61" s="12">
        <f t="shared" si="4"/>
        <v>145660</v>
      </c>
      <c r="L61" s="12">
        <f t="shared" si="2"/>
        <v>170068</v>
      </c>
      <c r="M61" s="21"/>
    </row>
    <row r="62" spans="1:13" ht="30" customHeight="1" x14ac:dyDescent="0.5">
      <c r="A62" s="12" t="s">
        <v>188</v>
      </c>
      <c r="B62" s="12">
        <v>32</v>
      </c>
      <c r="C62" s="12">
        <v>64</v>
      </c>
      <c r="D62" s="12">
        <v>48</v>
      </c>
      <c r="E62" s="12">
        <v>1000</v>
      </c>
      <c r="F62" s="12">
        <v>3906</v>
      </c>
      <c r="G62" s="12">
        <v>38900</v>
      </c>
      <c r="H62" s="12">
        <v>72176</v>
      </c>
      <c r="I62" s="12">
        <v>101234</v>
      </c>
      <c r="J62" s="12">
        <f t="shared" si="3"/>
        <v>140134</v>
      </c>
      <c r="K62" s="12">
        <f t="shared" si="4"/>
        <v>173410</v>
      </c>
      <c r="L62" s="12">
        <f t="shared" si="2"/>
        <v>202468</v>
      </c>
      <c r="M62" s="21"/>
    </row>
    <row r="63" spans="1:13" ht="30" customHeight="1" x14ac:dyDescent="0.5">
      <c r="A63" s="12" t="s">
        <v>189</v>
      </c>
      <c r="B63" s="12">
        <v>64</v>
      </c>
      <c r="C63" s="12">
        <v>128</v>
      </c>
      <c r="D63" s="12">
        <v>48</v>
      </c>
      <c r="E63" s="12">
        <v>1000</v>
      </c>
      <c r="F63" s="12">
        <v>5156</v>
      </c>
      <c r="G63" s="12">
        <v>51350</v>
      </c>
      <c r="H63" s="12">
        <v>95276</v>
      </c>
      <c r="I63" s="12">
        <v>133634</v>
      </c>
      <c r="J63" s="12">
        <f t="shared" si="3"/>
        <v>184984</v>
      </c>
      <c r="K63" s="12">
        <f t="shared" si="4"/>
        <v>228910</v>
      </c>
      <c r="L63" s="12">
        <f t="shared" si="2"/>
        <v>267268</v>
      </c>
      <c r="M63" s="21"/>
    </row>
    <row r="64" spans="1:13" ht="30" customHeight="1" x14ac:dyDescent="0.5">
      <c r="A64" s="12" t="s">
        <v>190</v>
      </c>
      <c r="B64" s="12">
        <v>64</v>
      </c>
      <c r="C64" s="12">
        <v>256</v>
      </c>
      <c r="D64" s="12">
        <v>48</v>
      </c>
      <c r="E64" s="12">
        <v>1000</v>
      </c>
      <c r="F64" s="12">
        <v>6406</v>
      </c>
      <c r="G64" s="12">
        <v>63800</v>
      </c>
      <c r="H64" s="12">
        <v>118376</v>
      </c>
      <c r="I64" s="12">
        <v>166034</v>
      </c>
      <c r="J64" s="12">
        <f t="shared" si="3"/>
        <v>229834</v>
      </c>
      <c r="K64" s="12">
        <f t="shared" si="4"/>
        <v>284410</v>
      </c>
      <c r="L64" s="12">
        <f t="shared" si="2"/>
        <v>332068</v>
      </c>
      <c r="M64" s="21"/>
    </row>
    <row r="65" spans="1:21" ht="30" customHeight="1" x14ac:dyDescent="0.5">
      <c r="A65" s="12" t="s">
        <v>191</v>
      </c>
      <c r="B65" s="12">
        <v>64</v>
      </c>
      <c r="C65" s="12">
        <v>256</v>
      </c>
      <c r="D65" s="12">
        <v>96</v>
      </c>
      <c r="E65" s="12">
        <v>1000</v>
      </c>
      <c r="F65" s="12">
        <v>9531</v>
      </c>
      <c r="G65" s="12">
        <v>94925</v>
      </c>
      <c r="H65" s="12">
        <v>176126</v>
      </c>
      <c r="I65" s="12">
        <v>247034</v>
      </c>
      <c r="J65" s="12">
        <f t="shared" si="3"/>
        <v>341959</v>
      </c>
      <c r="K65" s="12">
        <f t="shared" si="4"/>
        <v>423160</v>
      </c>
      <c r="L65" s="12">
        <f t="shared" si="2"/>
        <v>494068</v>
      </c>
      <c r="M65" s="21"/>
    </row>
    <row r="66" spans="1:21" ht="30" customHeight="1" x14ac:dyDescent="0.5">
      <c r="A66" s="12" t="s">
        <v>192</v>
      </c>
      <c r="B66" s="12">
        <v>96</v>
      </c>
      <c r="C66" s="12">
        <v>384</v>
      </c>
      <c r="D66" s="12">
        <v>192</v>
      </c>
      <c r="E66" s="12">
        <v>1000</v>
      </c>
      <c r="F66" s="12">
        <v>18281</v>
      </c>
      <c r="G66" s="12">
        <v>182075</v>
      </c>
      <c r="H66" s="12">
        <v>337826</v>
      </c>
      <c r="I66" s="12">
        <v>473834</v>
      </c>
      <c r="J66" s="12">
        <f t="shared" si="3"/>
        <v>655909</v>
      </c>
      <c r="K66" s="12">
        <f t="shared" si="4"/>
        <v>811660</v>
      </c>
      <c r="L66" s="12">
        <f t="shared" si="2"/>
        <v>947668</v>
      </c>
      <c r="M66" s="21"/>
    </row>
    <row r="67" spans="1:21" ht="30" customHeight="1" x14ac:dyDescent="0.5">
      <c r="A67" s="122" t="s">
        <v>193</v>
      </c>
      <c r="B67" s="122" t="s">
        <v>15</v>
      </c>
      <c r="C67" s="122" t="s">
        <v>16</v>
      </c>
      <c r="D67" s="122" t="s">
        <v>17</v>
      </c>
      <c r="E67" s="122" t="s">
        <v>141</v>
      </c>
      <c r="F67" s="119" t="s">
        <v>162</v>
      </c>
      <c r="G67" s="120"/>
      <c r="H67" s="120"/>
      <c r="I67" s="120"/>
      <c r="J67" s="120"/>
      <c r="K67" s="120"/>
      <c r="L67" s="121"/>
      <c r="M67" s="21"/>
    </row>
    <row r="68" spans="1:21" ht="30" customHeight="1" x14ac:dyDescent="0.5">
      <c r="A68" s="123"/>
      <c r="B68" s="123"/>
      <c r="C68" s="123"/>
      <c r="D68" s="123"/>
      <c r="E68" s="123"/>
      <c r="F68" s="11" t="s">
        <v>8</v>
      </c>
      <c r="G68" s="11" t="s">
        <v>0</v>
      </c>
      <c r="H68" s="11" t="s">
        <v>143</v>
      </c>
      <c r="I68" s="11" t="s">
        <v>144</v>
      </c>
      <c r="J68" s="11" t="s">
        <v>145</v>
      </c>
      <c r="K68" s="11" t="s">
        <v>146</v>
      </c>
      <c r="L68" s="11" t="s">
        <v>147</v>
      </c>
      <c r="M68" s="21"/>
    </row>
    <row r="69" spans="1:21" s="9" customFormat="1" ht="30" customHeight="1" x14ac:dyDescent="0.5">
      <c r="A69" s="12" t="s">
        <v>10</v>
      </c>
      <c r="B69" s="3"/>
      <c r="C69" s="3"/>
      <c r="D69" s="3"/>
      <c r="E69" s="3">
        <v>100</v>
      </c>
      <c r="F69" s="3">
        <v>25</v>
      </c>
      <c r="G69" s="3">
        <v>249</v>
      </c>
      <c r="H69" s="3">
        <v>462</v>
      </c>
      <c r="I69" s="3">
        <v>648</v>
      </c>
      <c r="J69" s="3">
        <f>I69+G69</f>
        <v>897</v>
      </c>
      <c r="K69" s="3">
        <f>I69+H69</f>
        <v>1110</v>
      </c>
      <c r="L69" s="12">
        <f>I69*2</f>
        <v>1296</v>
      </c>
      <c r="M69" s="21"/>
      <c r="N69" s="8"/>
      <c r="O69" s="8"/>
      <c r="P69" s="8"/>
      <c r="Q69" s="8"/>
      <c r="R69" s="8"/>
      <c r="S69" s="8"/>
      <c r="T69" s="8"/>
      <c r="U69" s="8"/>
    </row>
    <row r="70" spans="1:21" ht="30" customHeight="1" x14ac:dyDescent="0.5">
      <c r="A70" s="122" t="s">
        <v>194</v>
      </c>
      <c r="B70" s="122" t="s">
        <v>15</v>
      </c>
      <c r="C70" s="122" t="s">
        <v>16</v>
      </c>
      <c r="D70" s="122" t="s">
        <v>17</v>
      </c>
      <c r="E70" s="122" t="s">
        <v>195</v>
      </c>
      <c r="F70" s="119" t="s">
        <v>196</v>
      </c>
      <c r="G70" s="120"/>
      <c r="H70" s="120"/>
      <c r="I70" s="120"/>
      <c r="J70" s="120"/>
      <c r="K70" s="120"/>
      <c r="L70" s="121"/>
      <c r="M70" s="21"/>
    </row>
    <row r="71" spans="1:21" ht="30" customHeight="1" x14ac:dyDescent="0.5">
      <c r="A71" s="123"/>
      <c r="B71" s="123"/>
      <c r="C71" s="123"/>
      <c r="D71" s="123"/>
      <c r="E71" s="123"/>
      <c r="F71" s="11" t="s">
        <v>8</v>
      </c>
      <c r="G71" s="11" t="s">
        <v>0</v>
      </c>
      <c r="H71" s="11" t="s">
        <v>143</v>
      </c>
      <c r="I71" s="11" t="s">
        <v>144</v>
      </c>
      <c r="J71" s="11" t="s">
        <v>145</v>
      </c>
      <c r="K71" s="11" t="s">
        <v>146</v>
      </c>
      <c r="L71" s="11" t="s">
        <v>147</v>
      </c>
      <c r="M71" s="21"/>
    </row>
    <row r="72" spans="1:21" s="9" customFormat="1" ht="30" customHeight="1" x14ac:dyDescent="0.5">
      <c r="A72" s="12" t="s">
        <v>12</v>
      </c>
      <c r="B72" s="3">
        <v>0</v>
      </c>
      <c r="C72" s="3">
        <v>0</v>
      </c>
      <c r="D72" s="3">
        <v>0</v>
      </c>
      <c r="E72" s="3">
        <v>1</v>
      </c>
      <c r="F72" s="24">
        <v>20</v>
      </c>
      <c r="G72" s="24">
        <f>F72*12</f>
        <v>240</v>
      </c>
      <c r="H72" s="24">
        <f>G72*2</f>
        <v>480</v>
      </c>
      <c r="I72" s="24">
        <f>G72*3</f>
        <v>720</v>
      </c>
      <c r="J72" s="3">
        <f>I72+G72</f>
        <v>960</v>
      </c>
      <c r="K72" s="3">
        <f>I72+H72</f>
        <v>1200</v>
      </c>
      <c r="L72" s="12">
        <f>I72*2</f>
        <v>1440</v>
      </c>
      <c r="M72" s="21"/>
      <c r="N72" s="8"/>
      <c r="O72" s="8"/>
      <c r="P72" s="8"/>
      <c r="Q72" s="8"/>
      <c r="R72" s="8"/>
      <c r="S72" s="8"/>
      <c r="T72" s="8"/>
      <c r="U72" s="8"/>
    </row>
    <row r="73" spans="1:21" ht="30" customHeight="1" x14ac:dyDescent="0.5">
      <c r="A73" s="122" t="s">
        <v>197</v>
      </c>
      <c r="B73" s="122" t="s">
        <v>15</v>
      </c>
      <c r="C73" s="122" t="s">
        <v>16</v>
      </c>
      <c r="D73" s="122" t="s">
        <v>17</v>
      </c>
      <c r="E73" s="122" t="s">
        <v>141</v>
      </c>
      <c r="F73" s="119" t="s">
        <v>18</v>
      </c>
      <c r="G73" s="120"/>
      <c r="H73" s="120"/>
      <c r="I73" s="120"/>
      <c r="J73" s="120"/>
      <c r="K73" s="120"/>
      <c r="L73" s="121"/>
      <c r="M73" s="21"/>
    </row>
    <row r="74" spans="1:21" ht="30" customHeight="1" x14ac:dyDescent="0.5">
      <c r="A74" s="123"/>
      <c r="B74" s="123"/>
      <c r="C74" s="123"/>
      <c r="D74" s="123"/>
      <c r="E74" s="123"/>
      <c r="F74" s="11" t="s">
        <v>8</v>
      </c>
      <c r="G74" s="11" t="s">
        <v>0</v>
      </c>
      <c r="H74" s="11" t="s">
        <v>143</v>
      </c>
      <c r="I74" s="11" t="s">
        <v>144</v>
      </c>
      <c r="J74" s="11" t="s">
        <v>145</v>
      </c>
      <c r="K74" s="11" t="s">
        <v>146</v>
      </c>
      <c r="L74" s="11" t="s">
        <v>147</v>
      </c>
      <c r="M74" s="21"/>
    </row>
    <row r="75" spans="1:21" ht="30" customHeight="1" x14ac:dyDescent="0.5">
      <c r="A75" s="12" t="s">
        <v>198</v>
      </c>
      <c r="B75" s="12">
        <v>4</v>
      </c>
      <c r="C75" s="12">
        <v>8</v>
      </c>
      <c r="D75" s="12" t="s">
        <v>19</v>
      </c>
      <c r="E75" s="12">
        <v>160</v>
      </c>
      <c r="F75" s="23">
        <v>250</v>
      </c>
      <c r="G75" s="23">
        <v>2490</v>
      </c>
      <c r="H75" s="23">
        <v>4620</v>
      </c>
      <c r="I75" s="23">
        <v>6480</v>
      </c>
      <c r="J75" s="12">
        <f t="shared" ref="J75:J92" si="5">I75+G75</f>
        <v>8970</v>
      </c>
      <c r="K75" s="12">
        <f t="shared" ref="K75:K92" si="6">I75+H75</f>
        <v>11100</v>
      </c>
      <c r="L75" s="12">
        <f t="shared" ref="L75:L92" si="7">I75*2</f>
        <v>12960</v>
      </c>
      <c r="M75" s="21"/>
    </row>
    <row r="76" spans="1:21" ht="30" customHeight="1" x14ac:dyDescent="0.5">
      <c r="A76" s="12" t="s">
        <v>199</v>
      </c>
      <c r="B76" s="12">
        <v>6</v>
      </c>
      <c r="C76" s="12">
        <v>12</v>
      </c>
      <c r="D76" s="12" t="s">
        <v>19</v>
      </c>
      <c r="E76" s="12">
        <v>160</v>
      </c>
      <c r="F76" s="23">
        <v>275</v>
      </c>
      <c r="G76" s="23">
        <v>2739</v>
      </c>
      <c r="H76" s="23">
        <v>5082</v>
      </c>
      <c r="I76" s="23">
        <v>7128</v>
      </c>
      <c r="J76" s="12">
        <f t="shared" si="5"/>
        <v>9867</v>
      </c>
      <c r="K76" s="12">
        <f t="shared" si="6"/>
        <v>12210</v>
      </c>
      <c r="L76" s="12">
        <f t="shared" si="7"/>
        <v>14256</v>
      </c>
      <c r="M76" s="21"/>
    </row>
    <row r="77" spans="1:21" ht="30" customHeight="1" x14ac:dyDescent="0.5">
      <c r="A77" s="12" t="s">
        <v>200</v>
      </c>
      <c r="B77" s="12">
        <v>8</v>
      </c>
      <c r="C77" s="12">
        <v>16</v>
      </c>
      <c r="D77" s="12" t="s">
        <v>19</v>
      </c>
      <c r="E77" s="12">
        <v>240</v>
      </c>
      <c r="F77" s="23">
        <v>450</v>
      </c>
      <c r="G77" s="23">
        <v>4482</v>
      </c>
      <c r="H77" s="23">
        <v>8316</v>
      </c>
      <c r="I77" s="23">
        <v>11664</v>
      </c>
      <c r="J77" s="12">
        <f t="shared" si="5"/>
        <v>16146</v>
      </c>
      <c r="K77" s="12">
        <f t="shared" si="6"/>
        <v>19980</v>
      </c>
      <c r="L77" s="12">
        <f t="shared" si="7"/>
        <v>23328</v>
      </c>
      <c r="M77" s="21"/>
    </row>
    <row r="78" spans="1:21" ht="30" customHeight="1" x14ac:dyDescent="0.5">
      <c r="A78" s="12" t="s">
        <v>201</v>
      </c>
      <c r="B78" s="12">
        <v>4</v>
      </c>
      <c r="C78" s="12">
        <v>8</v>
      </c>
      <c r="D78" s="12">
        <v>2</v>
      </c>
      <c r="E78" s="12">
        <v>320</v>
      </c>
      <c r="F78" s="12">
        <v>600</v>
      </c>
      <c r="G78" s="12">
        <v>5976</v>
      </c>
      <c r="H78" s="12">
        <v>11088</v>
      </c>
      <c r="I78" s="12">
        <v>15552</v>
      </c>
      <c r="J78" s="12">
        <f t="shared" si="5"/>
        <v>21528</v>
      </c>
      <c r="K78" s="12">
        <f t="shared" si="6"/>
        <v>26640</v>
      </c>
      <c r="L78" s="12">
        <f t="shared" si="7"/>
        <v>31104</v>
      </c>
      <c r="M78" s="21"/>
    </row>
    <row r="79" spans="1:21" ht="30" customHeight="1" x14ac:dyDescent="0.5">
      <c r="A79" s="12" t="s">
        <v>202</v>
      </c>
      <c r="B79" s="12">
        <v>6</v>
      </c>
      <c r="C79" s="12">
        <v>12</v>
      </c>
      <c r="D79" s="12">
        <v>2</v>
      </c>
      <c r="E79" s="12">
        <v>320</v>
      </c>
      <c r="F79" s="12">
        <v>625</v>
      </c>
      <c r="G79" s="12">
        <v>6225</v>
      </c>
      <c r="H79" s="12">
        <v>11550</v>
      </c>
      <c r="I79" s="12">
        <v>16200</v>
      </c>
      <c r="J79" s="12">
        <f t="shared" si="5"/>
        <v>22425</v>
      </c>
      <c r="K79" s="12">
        <f t="shared" si="6"/>
        <v>27750</v>
      </c>
      <c r="L79" s="12">
        <f t="shared" si="7"/>
        <v>32400</v>
      </c>
      <c r="M79" s="21"/>
    </row>
    <row r="80" spans="1:21" ht="30" customHeight="1" x14ac:dyDescent="0.5">
      <c r="A80" s="12" t="s">
        <v>203</v>
      </c>
      <c r="B80" s="12">
        <v>8</v>
      </c>
      <c r="C80" s="12">
        <v>16</v>
      </c>
      <c r="D80" s="12">
        <v>2</v>
      </c>
      <c r="E80" s="12">
        <v>320</v>
      </c>
      <c r="F80" s="12">
        <v>750</v>
      </c>
      <c r="G80" s="12">
        <v>7470</v>
      </c>
      <c r="H80" s="12">
        <v>13860</v>
      </c>
      <c r="I80" s="12">
        <v>19440</v>
      </c>
      <c r="J80" s="12">
        <f t="shared" si="5"/>
        <v>26910</v>
      </c>
      <c r="K80" s="12">
        <f t="shared" si="6"/>
        <v>33300</v>
      </c>
      <c r="L80" s="12">
        <f t="shared" si="7"/>
        <v>38880</v>
      </c>
      <c r="M80" s="21"/>
    </row>
    <row r="81" spans="1:21" ht="30" customHeight="1" x14ac:dyDescent="0.5">
      <c r="A81" s="12" t="s">
        <v>204</v>
      </c>
      <c r="B81" s="12">
        <v>8</v>
      </c>
      <c r="C81" s="12">
        <v>16</v>
      </c>
      <c r="D81" s="12">
        <v>4</v>
      </c>
      <c r="E81" s="12">
        <v>480</v>
      </c>
      <c r="F81" s="12">
        <v>1000</v>
      </c>
      <c r="G81" s="12">
        <v>9960</v>
      </c>
      <c r="H81" s="12">
        <v>18480</v>
      </c>
      <c r="I81" s="12">
        <v>25920</v>
      </c>
      <c r="J81" s="12">
        <f t="shared" si="5"/>
        <v>35880</v>
      </c>
      <c r="K81" s="12">
        <f t="shared" si="6"/>
        <v>44400</v>
      </c>
      <c r="L81" s="12">
        <f t="shared" si="7"/>
        <v>51840</v>
      </c>
      <c r="M81" s="21"/>
    </row>
    <row r="82" spans="1:21" ht="30" customHeight="1" x14ac:dyDescent="0.5">
      <c r="A82" s="12" t="s">
        <v>205</v>
      </c>
      <c r="B82" s="12">
        <v>16</v>
      </c>
      <c r="C82" s="12">
        <v>32</v>
      </c>
      <c r="D82" s="12">
        <v>8</v>
      </c>
      <c r="E82" s="12">
        <v>600</v>
      </c>
      <c r="F82" s="12">
        <v>1900</v>
      </c>
      <c r="G82" s="12">
        <v>18924</v>
      </c>
      <c r="H82" s="12">
        <v>35112</v>
      </c>
      <c r="I82" s="12">
        <v>49248</v>
      </c>
      <c r="J82" s="12">
        <f t="shared" si="5"/>
        <v>68172</v>
      </c>
      <c r="K82" s="12">
        <f t="shared" si="6"/>
        <v>84360</v>
      </c>
      <c r="L82" s="12">
        <f t="shared" si="7"/>
        <v>98496</v>
      </c>
      <c r="M82" s="21"/>
    </row>
    <row r="83" spans="1:21" ht="30" customHeight="1" x14ac:dyDescent="0.5">
      <c r="A83" s="12" t="s">
        <v>206</v>
      </c>
      <c r="B83" s="12">
        <v>16</v>
      </c>
      <c r="C83" s="12">
        <v>32</v>
      </c>
      <c r="D83" s="12">
        <v>12</v>
      </c>
      <c r="E83" s="12">
        <v>600</v>
      </c>
      <c r="F83" s="12">
        <v>2686</v>
      </c>
      <c r="G83" s="12">
        <v>26755</v>
      </c>
      <c r="H83" s="12">
        <v>49642</v>
      </c>
      <c r="I83" s="12">
        <v>69628</v>
      </c>
      <c r="J83" s="12">
        <f t="shared" si="5"/>
        <v>96383</v>
      </c>
      <c r="K83" s="12">
        <f t="shared" si="6"/>
        <v>119270</v>
      </c>
      <c r="L83" s="12">
        <f t="shared" si="7"/>
        <v>139256</v>
      </c>
      <c r="M83" s="21"/>
    </row>
    <row r="84" spans="1:21" ht="30" customHeight="1" x14ac:dyDescent="0.5">
      <c r="A84" s="12" t="s">
        <v>207</v>
      </c>
      <c r="B84" s="12">
        <v>32</v>
      </c>
      <c r="C84" s="12">
        <v>64</v>
      </c>
      <c r="D84" s="12">
        <v>12</v>
      </c>
      <c r="E84" s="12">
        <v>1000</v>
      </c>
      <c r="F84" s="12">
        <v>3311</v>
      </c>
      <c r="G84" s="12">
        <v>32980</v>
      </c>
      <c r="H84" s="12">
        <v>61192</v>
      </c>
      <c r="I84" s="12">
        <v>85828</v>
      </c>
      <c r="J84" s="12">
        <f t="shared" si="5"/>
        <v>118808</v>
      </c>
      <c r="K84" s="12">
        <f t="shared" si="6"/>
        <v>147020</v>
      </c>
      <c r="L84" s="12">
        <f t="shared" si="7"/>
        <v>171656</v>
      </c>
      <c r="M84" s="21"/>
    </row>
    <row r="85" spans="1:21" ht="30" customHeight="1" x14ac:dyDescent="0.5">
      <c r="A85" s="12" t="s">
        <v>208</v>
      </c>
      <c r="B85" s="12">
        <v>32</v>
      </c>
      <c r="C85" s="12">
        <v>64</v>
      </c>
      <c r="D85" s="12">
        <v>16</v>
      </c>
      <c r="E85" s="12">
        <v>1000</v>
      </c>
      <c r="F85" s="12">
        <v>3630</v>
      </c>
      <c r="G85" s="12">
        <v>36155</v>
      </c>
      <c r="H85" s="12">
        <v>67082</v>
      </c>
      <c r="I85" s="12">
        <v>94090</v>
      </c>
      <c r="J85" s="12">
        <f t="shared" si="5"/>
        <v>130245</v>
      </c>
      <c r="K85" s="12">
        <f t="shared" si="6"/>
        <v>161172</v>
      </c>
      <c r="L85" s="12">
        <f t="shared" si="7"/>
        <v>188180</v>
      </c>
      <c r="M85" s="21"/>
    </row>
    <row r="86" spans="1:21" ht="30" customHeight="1" x14ac:dyDescent="0.5">
      <c r="A86" s="12" t="s">
        <v>209</v>
      </c>
      <c r="B86" s="12">
        <v>32</v>
      </c>
      <c r="C86" s="12">
        <v>64</v>
      </c>
      <c r="D86" s="12">
        <v>24</v>
      </c>
      <c r="E86" s="12">
        <v>1000</v>
      </c>
      <c r="F86" s="12">
        <v>5311</v>
      </c>
      <c r="G86" s="12">
        <v>52900</v>
      </c>
      <c r="H86" s="12">
        <v>98152</v>
      </c>
      <c r="I86" s="12">
        <v>137668</v>
      </c>
      <c r="J86" s="12">
        <f t="shared" si="5"/>
        <v>190568</v>
      </c>
      <c r="K86" s="12">
        <f t="shared" si="6"/>
        <v>235820</v>
      </c>
      <c r="L86" s="12">
        <f t="shared" si="7"/>
        <v>275336</v>
      </c>
      <c r="M86" s="21"/>
    </row>
    <row r="87" spans="1:21" ht="30" customHeight="1" x14ac:dyDescent="0.5">
      <c r="A87" s="12" t="s">
        <v>210</v>
      </c>
      <c r="B87" s="12">
        <v>64</v>
      </c>
      <c r="C87" s="12">
        <v>128</v>
      </c>
      <c r="D87" s="12">
        <v>24</v>
      </c>
      <c r="E87" s="12">
        <v>1000</v>
      </c>
      <c r="F87" s="12">
        <v>6561</v>
      </c>
      <c r="G87" s="12">
        <v>65350</v>
      </c>
      <c r="H87" s="12">
        <v>121252</v>
      </c>
      <c r="I87" s="12">
        <v>170068</v>
      </c>
      <c r="J87" s="12">
        <f t="shared" si="5"/>
        <v>235418</v>
      </c>
      <c r="K87" s="12">
        <f t="shared" si="6"/>
        <v>291320</v>
      </c>
      <c r="L87" s="12">
        <f t="shared" si="7"/>
        <v>340136</v>
      </c>
      <c r="M87" s="21"/>
    </row>
    <row r="88" spans="1:21" ht="30" customHeight="1" x14ac:dyDescent="0.5">
      <c r="A88" s="12" t="s">
        <v>211</v>
      </c>
      <c r="B88" s="12">
        <v>32</v>
      </c>
      <c r="C88" s="12">
        <v>64</v>
      </c>
      <c r="D88" s="12">
        <v>48</v>
      </c>
      <c r="E88" s="12">
        <v>1000</v>
      </c>
      <c r="F88" s="12">
        <v>7811</v>
      </c>
      <c r="G88" s="12">
        <v>77800</v>
      </c>
      <c r="H88" s="12">
        <v>144352</v>
      </c>
      <c r="I88" s="12">
        <v>202468</v>
      </c>
      <c r="J88" s="12">
        <f t="shared" si="5"/>
        <v>280268</v>
      </c>
      <c r="K88" s="12">
        <f t="shared" si="6"/>
        <v>346820</v>
      </c>
      <c r="L88" s="12">
        <f t="shared" si="7"/>
        <v>404936</v>
      </c>
      <c r="M88" s="21"/>
    </row>
    <row r="89" spans="1:21" ht="30" customHeight="1" x14ac:dyDescent="0.5">
      <c r="A89" s="12" t="s">
        <v>212</v>
      </c>
      <c r="B89" s="12">
        <v>64</v>
      </c>
      <c r="C89" s="12">
        <v>128</v>
      </c>
      <c r="D89" s="12">
        <v>48</v>
      </c>
      <c r="E89" s="12">
        <v>1000</v>
      </c>
      <c r="F89" s="12">
        <v>10311</v>
      </c>
      <c r="G89" s="12">
        <v>102700</v>
      </c>
      <c r="H89" s="12">
        <v>190552</v>
      </c>
      <c r="I89" s="12">
        <v>267268</v>
      </c>
      <c r="J89" s="12">
        <f t="shared" si="5"/>
        <v>369968</v>
      </c>
      <c r="K89" s="12">
        <f t="shared" si="6"/>
        <v>457820</v>
      </c>
      <c r="L89" s="12">
        <f t="shared" si="7"/>
        <v>534536</v>
      </c>
      <c r="M89" s="21"/>
    </row>
    <row r="90" spans="1:21" ht="30" customHeight="1" x14ac:dyDescent="0.5">
      <c r="A90" s="12" t="s">
        <v>213</v>
      </c>
      <c r="B90" s="12">
        <v>64</v>
      </c>
      <c r="C90" s="12">
        <v>256</v>
      </c>
      <c r="D90" s="12">
        <v>48</v>
      </c>
      <c r="E90" s="12">
        <v>1000</v>
      </c>
      <c r="F90" s="12">
        <v>12811</v>
      </c>
      <c r="G90" s="12">
        <v>127600</v>
      </c>
      <c r="H90" s="12">
        <v>236752</v>
      </c>
      <c r="I90" s="12">
        <v>332068</v>
      </c>
      <c r="J90" s="12">
        <f t="shared" si="5"/>
        <v>459668</v>
      </c>
      <c r="K90" s="12">
        <f t="shared" si="6"/>
        <v>568820</v>
      </c>
      <c r="L90" s="12">
        <f t="shared" si="7"/>
        <v>664136</v>
      </c>
      <c r="M90" s="21"/>
    </row>
    <row r="91" spans="1:21" ht="30" customHeight="1" x14ac:dyDescent="0.5">
      <c r="A91" s="12" t="s">
        <v>214</v>
      </c>
      <c r="B91" s="12">
        <v>64</v>
      </c>
      <c r="C91" s="12">
        <v>256</v>
      </c>
      <c r="D91" s="12">
        <v>96</v>
      </c>
      <c r="E91" s="12">
        <v>1000</v>
      </c>
      <c r="F91" s="12">
        <v>19061</v>
      </c>
      <c r="G91" s="12">
        <v>189850</v>
      </c>
      <c r="H91" s="12">
        <v>352252</v>
      </c>
      <c r="I91" s="12">
        <v>494068</v>
      </c>
      <c r="J91" s="12">
        <f t="shared" si="5"/>
        <v>683918</v>
      </c>
      <c r="K91" s="12">
        <f t="shared" si="6"/>
        <v>846320</v>
      </c>
      <c r="L91" s="12">
        <f t="shared" si="7"/>
        <v>988136</v>
      </c>
      <c r="M91" s="21"/>
    </row>
    <row r="92" spans="1:21" ht="30" customHeight="1" x14ac:dyDescent="0.5">
      <c r="A92" s="12" t="s">
        <v>215</v>
      </c>
      <c r="B92" s="12">
        <v>96</v>
      </c>
      <c r="C92" s="12">
        <v>384</v>
      </c>
      <c r="D92" s="12">
        <v>192</v>
      </c>
      <c r="E92" s="12">
        <v>1000</v>
      </c>
      <c r="F92" s="12">
        <v>36561</v>
      </c>
      <c r="G92" s="12">
        <v>364150</v>
      </c>
      <c r="H92" s="12">
        <v>675652</v>
      </c>
      <c r="I92" s="12">
        <v>947668</v>
      </c>
      <c r="J92" s="12">
        <f t="shared" si="5"/>
        <v>1311818</v>
      </c>
      <c r="K92" s="12">
        <f t="shared" si="6"/>
        <v>1623320</v>
      </c>
      <c r="L92" s="12">
        <f t="shared" si="7"/>
        <v>1895336</v>
      </c>
      <c r="M92" s="21"/>
    </row>
    <row r="93" spans="1:21" ht="30" customHeight="1" x14ac:dyDescent="0.5">
      <c r="A93" s="122" t="s">
        <v>216</v>
      </c>
      <c r="B93" s="122" t="s">
        <v>15</v>
      </c>
      <c r="C93" s="122" t="s">
        <v>16</v>
      </c>
      <c r="D93" s="122" t="s">
        <v>17</v>
      </c>
      <c r="E93" s="122" t="s">
        <v>141</v>
      </c>
      <c r="F93" s="119" t="s">
        <v>162</v>
      </c>
      <c r="G93" s="120"/>
      <c r="H93" s="120"/>
      <c r="I93" s="120"/>
      <c r="J93" s="120"/>
      <c r="K93" s="120"/>
      <c r="L93" s="121"/>
      <c r="M93" s="21"/>
    </row>
    <row r="94" spans="1:21" ht="30" customHeight="1" x14ac:dyDescent="0.5">
      <c r="A94" s="123"/>
      <c r="B94" s="123"/>
      <c r="C94" s="123"/>
      <c r="D94" s="123"/>
      <c r="E94" s="123"/>
      <c r="F94" s="11" t="s">
        <v>8</v>
      </c>
      <c r="G94" s="11" t="s">
        <v>0</v>
      </c>
      <c r="H94" s="11" t="s">
        <v>143</v>
      </c>
      <c r="I94" s="11" t="s">
        <v>144</v>
      </c>
      <c r="J94" s="11" t="s">
        <v>145</v>
      </c>
      <c r="K94" s="11" t="s">
        <v>146</v>
      </c>
      <c r="L94" s="11" t="s">
        <v>147</v>
      </c>
      <c r="M94" s="21"/>
    </row>
    <row r="95" spans="1:21" s="9" customFormat="1" ht="30" customHeight="1" x14ac:dyDescent="0.5">
      <c r="A95" s="12" t="s">
        <v>217</v>
      </c>
      <c r="B95" s="3">
        <v>0</v>
      </c>
      <c r="C95" s="3">
        <v>0</v>
      </c>
      <c r="D95" s="3">
        <v>0</v>
      </c>
      <c r="E95" s="3">
        <v>100</v>
      </c>
      <c r="F95" s="3">
        <v>38</v>
      </c>
      <c r="G95" s="3">
        <v>374</v>
      </c>
      <c r="H95" s="3">
        <v>693</v>
      </c>
      <c r="I95" s="3">
        <v>972</v>
      </c>
      <c r="J95" s="3">
        <f>I95+G95</f>
        <v>1346</v>
      </c>
      <c r="K95" s="3">
        <f>I95+H95</f>
        <v>1665</v>
      </c>
      <c r="L95" s="12">
        <f>I95*2</f>
        <v>1944</v>
      </c>
      <c r="M95" s="21"/>
      <c r="N95" s="8"/>
      <c r="O95" s="8"/>
      <c r="P95" s="8"/>
      <c r="Q95" s="8"/>
      <c r="R95" s="8"/>
      <c r="S95" s="8"/>
      <c r="T95" s="8"/>
      <c r="U95" s="8"/>
    </row>
    <row r="96" spans="1:21" ht="30" customHeight="1" x14ac:dyDescent="0.5">
      <c r="A96" s="122" t="s">
        <v>218</v>
      </c>
      <c r="B96" s="122" t="s">
        <v>15</v>
      </c>
      <c r="C96" s="122" t="s">
        <v>16</v>
      </c>
      <c r="D96" s="122" t="s">
        <v>17</v>
      </c>
      <c r="E96" s="122" t="s">
        <v>195</v>
      </c>
      <c r="F96" s="119" t="s">
        <v>219</v>
      </c>
      <c r="G96" s="120"/>
      <c r="H96" s="120"/>
      <c r="I96" s="120"/>
      <c r="J96" s="120"/>
      <c r="K96" s="120"/>
      <c r="L96" s="121"/>
      <c r="M96" s="21"/>
    </row>
    <row r="97" spans="1:21" ht="30" customHeight="1" x14ac:dyDescent="0.5">
      <c r="A97" s="123"/>
      <c r="B97" s="123"/>
      <c r="C97" s="123"/>
      <c r="D97" s="123"/>
      <c r="E97" s="123"/>
      <c r="F97" s="11" t="s">
        <v>8</v>
      </c>
      <c r="G97" s="11" t="s">
        <v>0</v>
      </c>
      <c r="H97" s="11" t="s">
        <v>143</v>
      </c>
      <c r="I97" s="11" t="s">
        <v>144</v>
      </c>
      <c r="J97" s="11" t="s">
        <v>145</v>
      </c>
      <c r="K97" s="11" t="s">
        <v>146</v>
      </c>
      <c r="L97" s="11" t="s">
        <v>147</v>
      </c>
      <c r="M97" s="21"/>
    </row>
    <row r="98" spans="1:21" s="9" customFormat="1" ht="30" customHeight="1" x14ac:dyDescent="0.5">
      <c r="A98" s="12" t="s">
        <v>220</v>
      </c>
      <c r="B98" s="3">
        <v>0</v>
      </c>
      <c r="C98" s="3">
        <v>0</v>
      </c>
      <c r="D98" s="3">
        <v>0</v>
      </c>
      <c r="E98" s="3">
        <v>5</v>
      </c>
      <c r="F98" s="24">
        <f>20*E98</f>
        <v>100</v>
      </c>
      <c r="G98" s="24">
        <f>F98*12</f>
        <v>1200</v>
      </c>
      <c r="H98" s="24">
        <f>G98*2</f>
        <v>2400</v>
      </c>
      <c r="I98" s="24">
        <f>G98*3</f>
        <v>3600</v>
      </c>
      <c r="J98" s="3">
        <f>I98+G98</f>
        <v>4800</v>
      </c>
      <c r="K98" s="3">
        <f>I98+H98</f>
        <v>6000</v>
      </c>
      <c r="L98" s="12">
        <f>I98*2</f>
        <v>7200</v>
      </c>
      <c r="M98" s="21"/>
      <c r="N98" s="8"/>
      <c r="O98" s="8"/>
      <c r="P98" s="8"/>
      <c r="Q98" s="8"/>
      <c r="R98" s="8"/>
      <c r="S98" s="8"/>
      <c r="T98" s="8"/>
      <c r="U98" s="8"/>
    </row>
    <row r="99" spans="1:21" ht="30" customHeight="1" x14ac:dyDescent="0.5">
      <c r="A99" s="107" t="s">
        <v>221</v>
      </c>
      <c r="B99" s="107" t="s">
        <v>15</v>
      </c>
      <c r="C99" s="107" t="s">
        <v>16</v>
      </c>
      <c r="D99" s="107" t="s">
        <v>17</v>
      </c>
      <c r="E99" s="107" t="s">
        <v>141</v>
      </c>
      <c r="F99" s="107" t="s">
        <v>222</v>
      </c>
      <c r="G99" s="107"/>
      <c r="H99" s="107"/>
      <c r="I99" s="107"/>
      <c r="J99" s="107"/>
      <c r="K99" s="107"/>
      <c r="L99" s="107"/>
      <c r="M99" s="21"/>
    </row>
    <row r="100" spans="1:21" ht="30" customHeight="1" x14ac:dyDescent="0.5">
      <c r="A100" s="107"/>
      <c r="B100" s="107"/>
      <c r="C100" s="107"/>
      <c r="D100" s="107"/>
      <c r="E100" s="107"/>
      <c r="F100" s="11" t="s">
        <v>8</v>
      </c>
      <c r="G100" s="11" t="s">
        <v>0</v>
      </c>
      <c r="H100" s="11" t="s">
        <v>143</v>
      </c>
      <c r="I100" s="11" t="s">
        <v>144</v>
      </c>
      <c r="J100" s="11" t="s">
        <v>145</v>
      </c>
      <c r="K100" s="11" t="s">
        <v>146</v>
      </c>
      <c r="L100" s="11" t="s">
        <v>147</v>
      </c>
      <c r="M100" s="21"/>
    </row>
    <row r="101" spans="1:21" ht="30" customHeight="1" x14ac:dyDescent="0.5">
      <c r="A101" s="17" t="s">
        <v>2</v>
      </c>
      <c r="B101" s="12"/>
      <c r="C101" s="12"/>
      <c r="D101" s="12"/>
      <c r="E101" s="12"/>
      <c r="F101" s="12"/>
      <c r="G101" s="25">
        <v>439</v>
      </c>
      <c r="H101" s="22">
        <f>G101*2</f>
        <v>878</v>
      </c>
      <c r="I101" s="22">
        <f>G101*3</f>
        <v>1317</v>
      </c>
      <c r="J101" s="22">
        <f>G101*4</f>
        <v>1756</v>
      </c>
      <c r="K101" s="22">
        <f>G101*5</f>
        <v>2195</v>
      </c>
      <c r="L101" s="22">
        <f>G101*6</f>
        <v>2634</v>
      </c>
      <c r="M101" s="21"/>
    </row>
    <row r="102" spans="1:21" ht="30" customHeight="1" x14ac:dyDescent="0.5">
      <c r="A102" s="17" t="s">
        <v>149</v>
      </c>
      <c r="B102" s="12"/>
      <c r="C102" s="12"/>
      <c r="D102" s="12"/>
      <c r="E102" s="12"/>
      <c r="F102" s="12"/>
      <c r="G102" s="25">
        <v>799</v>
      </c>
      <c r="H102" s="22">
        <f>G102*2</f>
        <v>1598</v>
      </c>
      <c r="I102" s="22">
        <f>G102*3</f>
        <v>2397</v>
      </c>
      <c r="J102" s="22">
        <f>G102*4</f>
        <v>3196</v>
      </c>
      <c r="K102" s="22">
        <f>G102*5</f>
        <v>3995</v>
      </c>
      <c r="L102" s="22">
        <f>G102*6</f>
        <v>4794</v>
      </c>
      <c r="M102" s="21"/>
    </row>
  </sheetData>
  <mergeCells count="61">
    <mergeCell ref="B99:B100"/>
    <mergeCell ref="C32:C33"/>
    <mergeCell ref="C35:C36"/>
    <mergeCell ref="C67:C68"/>
    <mergeCell ref="C70:C71"/>
    <mergeCell ref="C73:C74"/>
    <mergeCell ref="C96:C97"/>
    <mergeCell ref="C93:C94"/>
    <mergeCell ref="C99:C100"/>
    <mergeCell ref="D99:D100"/>
    <mergeCell ref="E32:E33"/>
    <mergeCell ref="D17:D18"/>
    <mergeCell ref="E17:E18"/>
    <mergeCell ref="D73:D74"/>
    <mergeCell ref="E70:E71"/>
    <mergeCell ref="E67:E68"/>
    <mergeCell ref="D35:D36"/>
    <mergeCell ref="D67:D68"/>
    <mergeCell ref="D70:D71"/>
    <mergeCell ref="E73:E74"/>
    <mergeCell ref="D93:D94"/>
    <mergeCell ref="E35:E36"/>
    <mergeCell ref="E93:E94"/>
    <mergeCell ref="E96:E97"/>
    <mergeCell ref="E99:E100"/>
    <mergeCell ref="A1:L1"/>
    <mergeCell ref="F73:L73"/>
    <mergeCell ref="A96:A97"/>
    <mergeCell ref="B32:B33"/>
    <mergeCell ref="E2:E3"/>
    <mergeCell ref="D96:D97"/>
    <mergeCell ref="B17:B18"/>
    <mergeCell ref="D2:D3"/>
    <mergeCell ref="D32:D33"/>
    <mergeCell ref="B96:B97"/>
    <mergeCell ref="C17:C18"/>
    <mergeCell ref="B93:B94"/>
    <mergeCell ref="B73:B74"/>
    <mergeCell ref="B70:B71"/>
    <mergeCell ref="B67:B68"/>
    <mergeCell ref="B35:B36"/>
    <mergeCell ref="F99:L99"/>
    <mergeCell ref="F17:L17"/>
    <mergeCell ref="F32:L32"/>
    <mergeCell ref="F35:L35"/>
    <mergeCell ref="F67:L67"/>
    <mergeCell ref="F70:L70"/>
    <mergeCell ref="F93:L93"/>
    <mergeCell ref="A99:A100"/>
    <mergeCell ref="A17:A18"/>
    <mergeCell ref="A32:A33"/>
    <mergeCell ref="A35:A36"/>
    <mergeCell ref="A67:A68"/>
    <mergeCell ref="A70:A71"/>
    <mergeCell ref="A73:A74"/>
    <mergeCell ref="F2:L2"/>
    <mergeCell ref="F96:L96"/>
    <mergeCell ref="A2:A3"/>
    <mergeCell ref="A93:A94"/>
    <mergeCell ref="B2:B3"/>
    <mergeCell ref="C2:C3"/>
  </mergeCells>
  <phoneticPr fontId="16" type="noConversion"/>
  <hyperlinks>
    <hyperlink ref="M1" location="'B0-list价格索引'!A1" display="返回 索引表" xr:uid="{00000000-0004-0000-13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O20"/>
  <sheetViews>
    <sheetView showGridLines="0" workbookViewId="0">
      <selection activeCell="D9" sqref="D9"/>
    </sheetView>
  </sheetViews>
  <sheetFormatPr defaultColWidth="9" defaultRowHeight="16.5" customHeight="1" x14ac:dyDescent="0.5"/>
  <cols>
    <col min="1" max="1" width="53.41015625" style="8" customWidth="1"/>
    <col min="2" max="2" width="6.46875" style="8" customWidth="1"/>
    <col min="3" max="5" width="9.64453125" style="8" customWidth="1"/>
    <col min="6" max="6" width="7.8203125" style="8" customWidth="1"/>
    <col min="7" max="9" width="8.46875" style="8" customWidth="1"/>
    <col min="10" max="11" width="9" style="8" customWidth="1"/>
    <col min="12" max="12" width="10.17578125" style="8" customWidth="1"/>
    <col min="13" max="13" width="13.17578125" style="8" customWidth="1"/>
    <col min="14" max="14" width="26.76171875" style="8" customWidth="1"/>
    <col min="15" max="15" width="12.46875" style="8" customWidth="1"/>
    <col min="16" max="41" width="9" style="8"/>
  </cols>
  <sheetData>
    <row r="1" spans="1:22" ht="38.25" customHeight="1" x14ac:dyDescent="0.5">
      <c r="A1" s="124" t="s">
        <v>322</v>
      </c>
      <c r="B1" s="106"/>
      <c r="C1" s="106"/>
      <c r="D1" s="106"/>
      <c r="E1" s="106"/>
      <c r="F1" s="106"/>
      <c r="G1" s="106"/>
      <c r="H1" s="106"/>
      <c r="I1" s="106"/>
      <c r="J1" s="106"/>
      <c r="K1" s="106"/>
      <c r="L1" s="106"/>
      <c r="M1" s="2"/>
      <c r="N1" s="18" t="s">
        <v>14</v>
      </c>
      <c r="O1" s="5" t="s">
        <v>343</v>
      </c>
    </row>
    <row r="2" spans="1:22" ht="30" customHeight="1" x14ac:dyDescent="0.55000000000000004">
      <c r="A2" s="125" t="s">
        <v>163</v>
      </c>
      <c r="B2" s="125" t="s">
        <v>15</v>
      </c>
      <c r="C2" s="125" t="s">
        <v>16</v>
      </c>
      <c r="D2" s="125" t="s">
        <v>17</v>
      </c>
      <c r="E2" s="125" t="s">
        <v>141</v>
      </c>
      <c r="F2" s="125" t="s">
        <v>18</v>
      </c>
      <c r="G2" s="125"/>
      <c r="H2" s="125"/>
      <c r="I2" s="125"/>
      <c r="J2" s="125"/>
      <c r="K2" s="125"/>
      <c r="L2" s="125"/>
      <c r="M2" s="58"/>
      <c r="N2" s="59"/>
      <c r="O2" s="5"/>
    </row>
    <row r="3" spans="1:22" ht="30" customHeight="1" x14ac:dyDescent="0.5">
      <c r="A3" s="125"/>
      <c r="B3" s="125"/>
      <c r="C3" s="125"/>
      <c r="D3" s="125"/>
      <c r="E3" s="125"/>
      <c r="F3" s="58" t="s">
        <v>8</v>
      </c>
      <c r="G3" s="58" t="s">
        <v>0</v>
      </c>
      <c r="H3" s="58" t="s">
        <v>143</v>
      </c>
      <c r="I3" s="58" t="s">
        <v>144</v>
      </c>
      <c r="J3" s="58" t="s">
        <v>145</v>
      </c>
      <c r="K3" s="58" t="s">
        <v>146</v>
      </c>
      <c r="L3" s="58" t="s">
        <v>147</v>
      </c>
      <c r="M3" s="60" t="s">
        <v>319</v>
      </c>
      <c r="N3" s="29" t="s">
        <v>321</v>
      </c>
      <c r="O3" s="63">
        <v>0.4</v>
      </c>
    </row>
    <row r="4" spans="1:22" ht="30" customHeight="1" x14ac:dyDescent="0.5">
      <c r="A4" s="12" t="s">
        <v>333</v>
      </c>
      <c r="B4" s="12">
        <v>4</v>
      </c>
      <c r="C4" s="12">
        <v>8</v>
      </c>
      <c r="D4" s="12" t="s">
        <v>19</v>
      </c>
      <c r="E4" s="12"/>
      <c r="F4" s="26">
        <v>46</v>
      </c>
      <c r="G4" s="23">
        <f t="shared" ref="G4:G12" si="0">F4*12</f>
        <v>552</v>
      </c>
      <c r="H4" s="23">
        <f t="shared" ref="H4:H12" si="1">G4*2</f>
        <v>1104</v>
      </c>
      <c r="I4" s="23">
        <f t="shared" ref="I4:I12" si="2">G4*3</f>
        <v>1656</v>
      </c>
      <c r="J4" s="12">
        <f t="shared" ref="J4:J12" si="3">I4+G4</f>
        <v>2208</v>
      </c>
      <c r="K4" s="12">
        <f t="shared" ref="K4:K12" si="4">I4+H4</f>
        <v>2760</v>
      </c>
      <c r="L4" s="12">
        <f t="shared" ref="L4:L12" si="5">I4*2</f>
        <v>3312</v>
      </c>
      <c r="M4" s="55"/>
      <c r="N4" s="61" t="s">
        <v>323</v>
      </c>
      <c r="O4" s="64">
        <f>F4*$O$3</f>
        <v>18.400000000000002</v>
      </c>
    </row>
    <row r="5" spans="1:22" ht="30" customHeight="1" x14ac:dyDescent="0.5">
      <c r="A5" s="12" t="s">
        <v>223</v>
      </c>
      <c r="B5" s="12">
        <v>6</v>
      </c>
      <c r="C5" s="12">
        <v>12</v>
      </c>
      <c r="D5" s="12" t="s">
        <v>19</v>
      </c>
      <c r="E5" s="12"/>
      <c r="F5" s="26">
        <v>67</v>
      </c>
      <c r="G5" s="23">
        <f t="shared" si="0"/>
        <v>804</v>
      </c>
      <c r="H5" s="23">
        <f t="shared" si="1"/>
        <v>1608</v>
      </c>
      <c r="I5" s="23">
        <f t="shared" si="2"/>
        <v>2412</v>
      </c>
      <c r="J5" s="12">
        <f t="shared" si="3"/>
        <v>3216</v>
      </c>
      <c r="K5" s="12">
        <f t="shared" si="4"/>
        <v>4020</v>
      </c>
      <c r="L5" s="12">
        <f t="shared" si="5"/>
        <v>4824</v>
      </c>
      <c r="M5" s="55"/>
      <c r="N5" s="61" t="s">
        <v>324</v>
      </c>
      <c r="O5" s="64">
        <f t="shared" ref="O5:O12" si="6">F5*$O$3</f>
        <v>26.8</v>
      </c>
    </row>
    <row r="6" spans="1:22" ht="30" customHeight="1" x14ac:dyDescent="0.5">
      <c r="A6" s="12" t="s">
        <v>224</v>
      </c>
      <c r="B6" s="12">
        <v>8</v>
      </c>
      <c r="C6" s="12">
        <v>16</v>
      </c>
      <c r="D6" s="12" t="s">
        <v>19</v>
      </c>
      <c r="E6" s="12"/>
      <c r="F6" s="26">
        <v>109</v>
      </c>
      <c r="G6" s="23">
        <f t="shared" si="0"/>
        <v>1308</v>
      </c>
      <c r="H6" s="23">
        <f t="shared" si="1"/>
        <v>2616</v>
      </c>
      <c r="I6" s="23">
        <f t="shared" si="2"/>
        <v>3924</v>
      </c>
      <c r="J6" s="12">
        <f t="shared" si="3"/>
        <v>5232</v>
      </c>
      <c r="K6" s="12">
        <f t="shared" si="4"/>
        <v>6540</v>
      </c>
      <c r="L6" s="12">
        <f t="shared" si="5"/>
        <v>7848</v>
      </c>
      <c r="M6" s="55"/>
      <c r="N6" s="61" t="s">
        <v>325</v>
      </c>
      <c r="O6" s="64">
        <f t="shared" si="6"/>
        <v>43.6</v>
      </c>
    </row>
    <row r="7" spans="1:22" ht="30" customHeight="1" x14ac:dyDescent="0.5">
      <c r="A7" s="12" t="s">
        <v>226</v>
      </c>
      <c r="B7" s="12">
        <v>6</v>
      </c>
      <c r="C7" s="12">
        <v>12</v>
      </c>
      <c r="D7" s="12">
        <v>2</v>
      </c>
      <c r="E7" s="12"/>
      <c r="F7" s="26">
        <v>80</v>
      </c>
      <c r="G7" s="23">
        <f t="shared" si="0"/>
        <v>960</v>
      </c>
      <c r="H7" s="23">
        <f t="shared" si="1"/>
        <v>1920</v>
      </c>
      <c r="I7" s="23">
        <f t="shared" si="2"/>
        <v>2880</v>
      </c>
      <c r="J7" s="12">
        <f t="shared" si="3"/>
        <v>3840</v>
      </c>
      <c r="K7" s="12">
        <f t="shared" si="4"/>
        <v>4800</v>
      </c>
      <c r="L7" s="12">
        <f t="shared" si="5"/>
        <v>5760</v>
      </c>
      <c r="M7" s="55"/>
      <c r="N7" s="61" t="s">
        <v>327</v>
      </c>
      <c r="O7" s="64">
        <f t="shared" si="6"/>
        <v>32</v>
      </c>
    </row>
    <row r="8" spans="1:22" ht="30" customHeight="1" x14ac:dyDescent="0.5">
      <c r="A8" s="12" t="s">
        <v>227</v>
      </c>
      <c r="B8" s="12">
        <v>8</v>
      </c>
      <c r="C8" s="12">
        <v>16</v>
      </c>
      <c r="D8" s="12">
        <v>2</v>
      </c>
      <c r="E8" s="12"/>
      <c r="F8" s="26">
        <v>99</v>
      </c>
      <c r="G8" s="23">
        <f t="shared" si="0"/>
        <v>1188</v>
      </c>
      <c r="H8" s="23">
        <f t="shared" si="1"/>
        <v>2376</v>
      </c>
      <c r="I8" s="23">
        <f t="shared" si="2"/>
        <v>3564</v>
      </c>
      <c r="J8" s="12">
        <f t="shared" si="3"/>
        <v>4752</v>
      </c>
      <c r="K8" s="12">
        <f t="shared" si="4"/>
        <v>5940</v>
      </c>
      <c r="L8" s="12">
        <f t="shared" si="5"/>
        <v>7128</v>
      </c>
      <c r="M8" s="55"/>
      <c r="N8" s="61" t="s">
        <v>328</v>
      </c>
      <c r="O8" s="64">
        <f t="shared" si="6"/>
        <v>39.6</v>
      </c>
    </row>
    <row r="9" spans="1:22" ht="30" customHeight="1" x14ac:dyDescent="0.5">
      <c r="A9" s="12" t="s">
        <v>228</v>
      </c>
      <c r="B9" s="12">
        <v>8</v>
      </c>
      <c r="C9" s="12">
        <v>16</v>
      </c>
      <c r="D9" s="12">
        <v>4</v>
      </c>
      <c r="E9" s="12"/>
      <c r="F9" s="26">
        <v>130</v>
      </c>
      <c r="G9" s="23">
        <f t="shared" si="0"/>
        <v>1560</v>
      </c>
      <c r="H9" s="23">
        <f t="shared" si="1"/>
        <v>3120</v>
      </c>
      <c r="I9" s="23">
        <f t="shared" si="2"/>
        <v>4680</v>
      </c>
      <c r="J9" s="12">
        <f t="shared" si="3"/>
        <v>6240</v>
      </c>
      <c r="K9" s="12">
        <f t="shared" si="4"/>
        <v>7800</v>
      </c>
      <c r="L9" s="12">
        <f t="shared" si="5"/>
        <v>9360</v>
      </c>
      <c r="M9" s="55"/>
      <c r="N9" s="61" t="s">
        <v>329</v>
      </c>
      <c r="O9" s="64">
        <f t="shared" si="6"/>
        <v>52</v>
      </c>
    </row>
    <row r="10" spans="1:22" ht="30" customHeight="1" x14ac:dyDescent="0.5">
      <c r="A10" s="12" t="s">
        <v>229</v>
      </c>
      <c r="B10" s="12">
        <v>16</v>
      </c>
      <c r="C10" s="12">
        <v>32</v>
      </c>
      <c r="D10" s="12">
        <v>8</v>
      </c>
      <c r="E10" s="12"/>
      <c r="F10" s="26">
        <v>259</v>
      </c>
      <c r="G10" s="23">
        <f t="shared" si="0"/>
        <v>3108</v>
      </c>
      <c r="H10" s="23">
        <f t="shared" si="1"/>
        <v>6216</v>
      </c>
      <c r="I10" s="23">
        <f t="shared" si="2"/>
        <v>9324</v>
      </c>
      <c r="J10" s="12">
        <f t="shared" si="3"/>
        <v>12432</v>
      </c>
      <c r="K10" s="12">
        <f t="shared" si="4"/>
        <v>15540</v>
      </c>
      <c r="L10" s="12">
        <f t="shared" si="5"/>
        <v>18648</v>
      </c>
      <c r="M10" s="55"/>
      <c r="N10" s="61" t="s">
        <v>330</v>
      </c>
      <c r="O10" s="64">
        <f t="shared" si="6"/>
        <v>103.60000000000001</v>
      </c>
    </row>
    <row r="11" spans="1:22" ht="30" customHeight="1" x14ac:dyDescent="0.5">
      <c r="A11" s="12" t="s">
        <v>230</v>
      </c>
      <c r="B11" s="12">
        <v>16</v>
      </c>
      <c r="C11" s="12">
        <v>32</v>
      </c>
      <c r="D11" s="12">
        <v>12</v>
      </c>
      <c r="E11" s="12"/>
      <c r="F11" s="26">
        <v>356</v>
      </c>
      <c r="G11" s="23">
        <f t="shared" si="0"/>
        <v>4272</v>
      </c>
      <c r="H11" s="23">
        <f t="shared" si="1"/>
        <v>8544</v>
      </c>
      <c r="I11" s="23">
        <f t="shared" si="2"/>
        <v>12816</v>
      </c>
      <c r="J11" s="12">
        <f t="shared" si="3"/>
        <v>17088</v>
      </c>
      <c r="K11" s="12">
        <f t="shared" si="4"/>
        <v>21360</v>
      </c>
      <c r="L11" s="12">
        <f t="shared" si="5"/>
        <v>25632</v>
      </c>
      <c r="M11" s="55"/>
      <c r="N11" s="61" t="s">
        <v>331</v>
      </c>
      <c r="O11" s="64">
        <f t="shared" si="6"/>
        <v>142.4</v>
      </c>
    </row>
    <row r="12" spans="1:22" ht="30" customHeight="1" x14ac:dyDescent="0.5">
      <c r="A12" s="12" t="s">
        <v>231</v>
      </c>
      <c r="B12" s="12">
        <v>32</v>
      </c>
      <c r="C12" s="12">
        <v>64</v>
      </c>
      <c r="D12" s="12">
        <v>12</v>
      </c>
      <c r="E12" s="12"/>
      <c r="F12" s="26">
        <v>450</v>
      </c>
      <c r="G12" s="23">
        <f t="shared" si="0"/>
        <v>5400</v>
      </c>
      <c r="H12" s="23">
        <f t="shared" si="1"/>
        <v>10800</v>
      </c>
      <c r="I12" s="23">
        <f t="shared" si="2"/>
        <v>16200</v>
      </c>
      <c r="J12" s="12">
        <f t="shared" si="3"/>
        <v>21600</v>
      </c>
      <c r="K12" s="12">
        <f t="shared" si="4"/>
        <v>27000</v>
      </c>
      <c r="L12" s="12">
        <f t="shared" si="5"/>
        <v>32400</v>
      </c>
      <c r="M12" s="55"/>
      <c r="N12" s="61" t="s">
        <v>332</v>
      </c>
      <c r="O12" s="64">
        <f t="shared" si="6"/>
        <v>180</v>
      </c>
    </row>
    <row r="13" spans="1:22" ht="30" customHeight="1" x14ac:dyDescent="0.5">
      <c r="A13" s="107" t="s">
        <v>193</v>
      </c>
      <c r="B13" s="107" t="s">
        <v>15</v>
      </c>
      <c r="C13" s="107" t="s">
        <v>16</v>
      </c>
      <c r="D13" s="107" t="s">
        <v>17</v>
      </c>
      <c r="E13" s="107" t="s">
        <v>141</v>
      </c>
      <c r="F13" s="107" t="s">
        <v>162</v>
      </c>
      <c r="G13" s="107"/>
      <c r="H13" s="107"/>
      <c r="I13" s="107"/>
      <c r="J13" s="107"/>
      <c r="K13" s="107"/>
      <c r="L13" s="107"/>
      <c r="M13" s="11"/>
      <c r="N13" s="21"/>
    </row>
    <row r="14" spans="1:22" ht="30" customHeight="1" x14ac:dyDescent="0.5">
      <c r="A14" s="107"/>
      <c r="B14" s="107"/>
      <c r="C14" s="107"/>
      <c r="D14" s="107"/>
      <c r="E14" s="107"/>
      <c r="F14" s="11" t="s">
        <v>8</v>
      </c>
      <c r="G14" s="11" t="s">
        <v>0</v>
      </c>
      <c r="H14" s="11" t="s">
        <v>143</v>
      </c>
      <c r="I14" s="11" t="s">
        <v>144</v>
      </c>
      <c r="J14" s="11" t="s">
        <v>145</v>
      </c>
      <c r="K14" s="11" t="s">
        <v>146</v>
      </c>
      <c r="L14" s="11" t="s">
        <v>147</v>
      </c>
      <c r="M14" s="11" t="s">
        <v>0</v>
      </c>
      <c r="N14" s="21"/>
    </row>
    <row r="15" spans="1:22" s="9" customFormat="1" ht="30" customHeight="1" x14ac:dyDescent="0.5">
      <c r="A15" s="12" t="s">
        <v>10</v>
      </c>
      <c r="B15" s="3"/>
      <c r="C15" s="3"/>
      <c r="D15" s="3"/>
      <c r="E15" s="3">
        <v>100</v>
      </c>
      <c r="F15" s="3">
        <v>25</v>
      </c>
      <c r="G15" s="3">
        <f>F15*12</f>
        <v>300</v>
      </c>
      <c r="H15" s="3">
        <f>G15*2</f>
        <v>600</v>
      </c>
      <c r="I15" s="3">
        <f>G15*3</f>
        <v>900</v>
      </c>
      <c r="J15" s="3">
        <f>I15+G15</f>
        <v>1200</v>
      </c>
      <c r="K15" s="3">
        <f>I15+H15</f>
        <v>1500</v>
      </c>
      <c r="L15" s="12">
        <f>I15*2</f>
        <v>1800</v>
      </c>
      <c r="M15" s="3">
        <f>L15*12</f>
        <v>21600</v>
      </c>
      <c r="N15" s="21"/>
      <c r="O15" s="64">
        <f t="shared" ref="O15" si="7">F15*$O$3</f>
        <v>10</v>
      </c>
      <c r="P15" s="8"/>
      <c r="Q15" s="8"/>
      <c r="R15" s="8"/>
      <c r="S15" s="8"/>
      <c r="T15" s="8"/>
      <c r="U15" s="8"/>
      <c r="V15" s="8"/>
    </row>
    <row r="16" spans="1:22" ht="30" customHeight="1" x14ac:dyDescent="0.5">
      <c r="A16" s="107" t="s">
        <v>194</v>
      </c>
      <c r="B16" s="107" t="s">
        <v>15</v>
      </c>
      <c r="C16" s="107" t="s">
        <v>16</v>
      </c>
      <c r="D16" s="107" t="s">
        <v>17</v>
      </c>
      <c r="E16" s="107" t="s">
        <v>195</v>
      </c>
      <c r="F16" s="107" t="s">
        <v>196</v>
      </c>
      <c r="G16" s="107"/>
      <c r="H16" s="107"/>
      <c r="I16" s="107"/>
      <c r="J16" s="107"/>
      <c r="K16" s="107"/>
      <c r="L16" s="107"/>
      <c r="M16" s="11"/>
      <c r="N16" s="21"/>
    </row>
    <row r="17" spans="1:22" ht="30" customHeight="1" x14ac:dyDescent="0.5">
      <c r="A17" s="107"/>
      <c r="B17" s="107"/>
      <c r="C17" s="107"/>
      <c r="D17" s="107"/>
      <c r="E17" s="107"/>
      <c r="F17" s="11" t="s">
        <v>8</v>
      </c>
      <c r="G17" s="11" t="s">
        <v>0</v>
      </c>
      <c r="H17" s="11" t="s">
        <v>143</v>
      </c>
      <c r="I17" s="11" t="s">
        <v>144</v>
      </c>
      <c r="J17" s="11" t="s">
        <v>145</v>
      </c>
      <c r="K17" s="11" t="s">
        <v>146</v>
      </c>
      <c r="L17" s="11" t="s">
        <v>147</v>
      </c>
      <c r="M17" s="11" t="s">
        <v>0</v>
      </c>
      <c r="N17" s="21"/>
    </row>
    <row r="18" spans="1:22" s="9" customFormat="1" ht="30" customHeight="1" x14ac:dyDescent="0.5">
      <c r="A18" s="12" t="s">
        <v>12</v>
      </c>
      <c r="B18" s="3">
        <v>0</v>
      </c>
      <c r="C18" s="3">
        <v>0</v>
      </c>
      <c r="D18" s="3">
        <v>0</v>
      </c>
      <c r="E18" s="3">
        <v>1</v>
      </c>
      <c r="F18" s="24">
        <v>20</v>
      </c>
      <c r="G18" s="24">
        <f>F18*12</f>
        <v>240</v>
      </c>
      <c r="H18" s="24">
        <f>G18*2</f>
        <v>480</v>
      </c>
      <c r="I18" s="24">
        <f>G18*3</f>
        <v>720</v>
      </c>
      <c r="J18" s="3">
        <f>I18+G18</f>
        <v>960</v>
      </c>
      <c r="K18" s="3">
        <f>I18+H18</f>
        <v>1200</v>
      </c>
      <c r="L18" s="12">
        <f>I18*2</f>
        <v>1440</v>
      </c>
      <c r="M18" s="24">
        <f>L18*12</f>
        <v>17280</v>
      </c>
      <c r="N18" s="21"/>
      <c r="O18" s="64">
        <f t="shared" ref="O18" si="8">F18*$O$3</f>
        <v>8</v>
      </c>
      <c r="P18" s="8"/>
      <c r="Q18" s="8"/>
      <c r="R18" s="8"/>
      <c r="S18" s="8"/>
      <c r="T18" s="8"/>
      <c r="U18" s="8"/>
      <c r="V18" s="8"/>
    </row>
    <row r="20" spans="1:22" ht="30" customHeight="1" x14ac:dyDescent="0.5">
      <c r="A20" s="56" t="s">
        <v>225</v>
      </c>
      <c r="B20" s="56">
        <v>4</v>
      </c>
      <c r="C20" s="56">
        <v>8</v>
      </c>
      <c r="D20" s="56">
        <v>2</v>
      </c>
      <c r="E20" s="56"/>
      <c r="F20" s="57">
        <v>75</v>
      </c>
      <c r="G20" s="55">
        <f t="shared" ref="G20" si="9">F20*12</f>
        <v>900</v>
      </c>
      <c r="H20" s="55">
        <f t="shared" ref="H20" si="10">G20*2</f>
        <v>1800</v>
      </c>
      <c r="I20" s="55">
        <f t="shared" ref="I20" si="11">G20*3</f>
        <v>2700</v>
      </c>
      <c r="J20" s="56">
        <f t="shared" ref="J20" si="12">I20+G20</f>
        <v>3600</v>
      </c>
      <c r="K20" s="56">
        <f t="shared" ref="K20" si="13">I20+H20</f>
        <v>4500</v>
      </c>
      <c r="L20" s="56">
        <f t="shared" ref="L20" si="14">I20*2</f>
        <v>5400</v>
      </c>
      <c r="M20" s="55" t="s">
        <v>320</v>
      </c>
      <c r="N20" s="61" t="s">
        <v>326</v>
      </c>
    </row>
  </sheetData>
  <mergeCells count="19">
    <mergeCell ref="B13:B14"/>
    <mergeCell ref="C13:C14"/>
    <mergeCell ref="E16:E17"/>
    <mergeCell ref="A1:L1"/>
    <mergeCell ref="F2:L2"/>
    <mergeCell ref="F13:L13"/>
    <mergeCell ref="F16:L16"/>
    <mergeCell ref="A2:A3"/>
    <mergeCell ref="D16:D17"/>
    <mergeCell ref="E2:E3"/>
    <mergeCell ref="C16:C17"/>
    <mergeCell ref="B2:B3"/>
    <mergeCell ref="A13:A14"/>
    <mergeCell ref="C2:C3"/>
    <mergeCell ref="A16:A17"/>
    <mergeCell ref="E13:E14"/>
    <mergeCell ref="D2:D3"/>
    <mergeCell ref="B16:B17"/>
    <mergeCell ref="D13:D14"/>
  </mergeCells>
  <phoneticPr fontId="16" type="noConversion"/>
  <hyperlinks>
    <hyperlink ref="N1" location="'B0-list价格索引'!A1" display="返回 索引表" xr:uid="{00000000-0004-0000-14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FE560-9E5F-486B-84B1-069204DEB976}">
  <dimension ref="A1:AO16"/>
  <sheetViews>
    <sheetView showGridLines="0" workbookViewId="0">
      <selection activeCell="A7" sqref="A7:G7"/>
    </sheetView>
  </sheetViews>
  <sheetFormatPr defaultColWidth="9" defaultRowHeight="16.5" customHeight="1" x14ac:dyDescent="0.5"/>
  <cols>
    <col min="1" max="1" width="68.17578125" style="8" customWidth="1"/>
    <col min="2" max="2" width="6.46875" style="8" customWidth="1"/>
    <col min="3" max="5" width="9.64453125" style="8" customWidth="1"/>
    <col min="6" max="6" width="7.8203125" style="8" customWidth="1"/>
    <col min="7" max="9" width="8.46875" style="8" customWidth="1"/>
    <col min="10" max="11" width="9" style="8" customWidth="1"/>
    <col min="12" max="12" width="10.17578125" style="8" customWidth="1"/>
    <col min="13" max="13" width="13.17578125" style="8" customWidth="1"/>
    <col min="14" max="14" width="26.76171875" style="8" customWidth="1"/>
    <col min="15" max="41" width="9" style="8"/>
  </cols>
  <sheetData>
    <row r="1" spans="1:22" ht="38.25" customHeight="1" x14ac:dyDescent="0.5">
      <c r="A1" s="124" t="s">
        <v>322</v>
      </c>
      <c r="B1" s="106"/>
      <c r="C1" s="106"/>
      <c r="D1" s="106"/>
      <c r="E1" s="106"/>
      <c r="F1" s="106"/>
      <c r="G1" s="106"/>
      <c r="H1" s="106"/>
      <c r="I1" s="106"/>
      <c r="J1" s="106"/>
      <c r="K1" s="106"/>
      <c r="L1" s="106"/>
      <c r="M1" s="2"/>
      <c r="N1" s="18" t="s">
        <v>14</v>
      </c>
    </row>
    <row r="2" spans="1:22" ht="30" customHeight="1" x14ac:dyDescent="0.55000000000000004">
      <c r="A2" s="125" t="s">
        <v>163</v>
      </c>
      <c r="B2" s="125" t="s">
        <v>15</v>
      </c>
      <c r="C2" s="125" t="s">
        <v>16</v>
      </c>
      <c r="D2" s="125" t="s">
        <v>17</v>
      </c>
      <c r="E2" s="125" t="s">
        <v>141</v>
      </c>
      <c r="F2" s="125" t="s">
        <v>18</v>
      </c>
      <c r="G2" s="125"/>
      <c r="H2" s="125"/>
      <c r="I2" s="125"/>
      <c r="J2" s="125"/>
      <c r="K2" s="125"/>
      <c r="L2" s="125"/>
      <c r="M2" s="58"/>
      <c r="N2" s="59"/>
    </row>
    <row r="3" spans="1:22" ht="30" customHeight="1" x14ac:dyDescent="0.5">
      <c r="A3" s="125"/>
      <c r="B3" s="125"/>
      <c r="C3" s="125"/>
      <c r="D3" s="125"/>
      <c r="E3" s="125"/>
      <c r="F3" s="58" t="s">
        <v>8</v>
      </c>
      <c r="G3" s="58" t="s">
        <v>0</v>
      </c>
      <c r="H3" s="58" t="s">
        <v>143</v>
      </c>
      <c r="I3" s="58" t="s">
        <v>144</v>
      </c>
      <c r="J3" s="58" t="s">
        <v>145</v>
      </c>
      <c r="K3" s="58" t="s">
        <v>146</v>
      </c>
      <c r="L3" s="58" t="s">
        <v>147</v>
      </c>
      <c r="M3" s="60" t="s">
        <v>319</v>
      </c>
      <c r="N3" s="29" t="s">
        <v>321</v>
      </c>
    </row>
    <row r="4" spans="1:22" ht="30" customHeight="1" x14ac:dyDescent="0.5">
      <c r="A4" s="12" t="s">
        <v>333</v>
      </c>
      <c r="B4" s="12">
        <v>4</v>
      </c>
      <c r="C4" s="12">
        <v>8</v>
      </c>
      <c r="D4" s="12" t="s">
        <v>19</v>
      </c>
      <c r="E4" s="12"/>
      <c r="F4" s="26">
        <v>85</v>
      </c>
      <c r="G4" s="23">
        <f t="shared" ref="G4:G7" si="0">F4*12</f>
        <v>1020</v>
      </c>
      <c r="H4" s="23">
        <f t="shared" ref="H4:H7" si="1">G4*2</f>
        <v>2040</v>
      </c>
      <c r="I4" s="23">
        <f t="shared" ref="I4:I7" si="2">G4*3</f>
        <v>3060</v>
      </c>
      <c r="J4" s="12">
        <f t="shared" ref="J4:J7" si="3">I4+G4</f>
        <v>4080</v>
      </c>
      <c r="K4" s="12">
        <f t="shared" ref="K4:K7" si="4">I4+H4</f>
        <v>5100</v>
      </c>
      <c r="L4" s="12">
        <f t="shared" ref="L4:L7" si="5">I4*2</f>
        <v>6120</v>
      </c>
      <c r="M4" s="55"/>
      <c r="N4" s="61" t="s">
        <v>334</v>
      </c>
    </row>
    <row r="5" spans="1:22" ht="30" customHeight="1" x14ac:dyDescent="0.5">
      <c r="A5" s="12" t="s">
        <v>223</v>
      </c>
      <c r="B5" s="12">
        <v>6</v>
      </c>
      <c r="C5" s="12">
        <v>12</v>
      </c>
      <c r="D5" s="12" t="s">
        <v>19</v>
      </c>
      <c r="E5" s="12"/>
      <c r="F5" s="26">
        <v>98</v>
      </c>
      <c r="G5" s="23">
        <f t="shared" si="0"/>
        <v>1176</v>
      </c>
      <c r="H5" s="23">
        <f t="shared" si="1"/>
        <v>2352</v>
      </c>
      <c r="I5" s="23">
        <f t="shared" si="2"/>
        <v>3528</v>
      </c>
      <c r="J5" s="12">
        <f t="shared" si="3"/>
        <v>4704</v>
      </c>
      <c r="K5" s="12">
        <f t="shared" si="4"/>
        <v>5880</v>
      </c>
      <c r="L5" s="12">
        <f t="shared" si="5"/>
        <v>7056</v>
      </c>
      <c r="M5" s="55"/>
      <c r="N5" s="61" t="s">
        <v>335</v>
      </c>
    </row>
    <row r="6" spans="1:22" ht="30" customHeight="1" x14ac:dyDescent="0.5">
      <c r="A6" s="12" t="s">
        <v>224</v>
      </c>
      <c r="B6" s="12">
        <v>8</v>
      </c>
      <c r="C6" s="12">
        <v>16</v>
      </c>
      <c r="D6" s="12" t="s">
        <v>19</v>
      </c>
      <c r="E6" s="12"/>
      <c r="F6" s="26">
        <v>165</v>
      </c>
      <c r="G6" s="23">
        <f t="shared" si="0"/>
        <v>1980</v>
      </c>
      <c r="H6" s="23">
        <f t="shared" si="1"/>
        <v>3960</v>
      </c>
      <c r="I6" s="23">
        <f t="shared" si="2"/>
        <v>5940</v>
      </c>
      <c r="J6" s="12">
        <f t="shared" si="3"/>
        <v>7920</v>
      </c>
      <c r="K6" s="12">
        <f t="shared" si="4"/>
        <v>9900</v>
      </c>
      <c r="L6" s="12">
        <f t="shared" si="5"/>
        <v>11880</v>
      </c>
      <c r="M6" s="55"/>
      <c r="N6" s="61" t="s">
        <v>336</v>
      </c>
    </row>
    <row r="7" spans="1:22" ht="30" customHeight="1" x14ac:dyDescent="0.5">
      <c r="A7" s="12" t="s">
        <v>318</v>
      </c>
      <c r="B7" s="12">
        <v>16</v>
      </c>
      <c r="C7" s="12">
        <v>32</v>
      </c>
      <c r="D7" s="12" t="s">
        <v>19</v>
      </c>
      <c r="E7" s="12"/>
      <c r="F7" s="26">
        <v>428</v>
      </c>
      <c r="G7" s="23">
        <f t="shared" si="0"/>
        <v>5136</v>
      </c>
      <c r="H7" s="23">
        <f t="shared" si="1"/>
        <v>10272</v>
      </c>
      <c r="I7" s="23">
        <f t="shared" si="2"/>
        <v>15408</v>
      </c>
      <c r="J7" s="12">
        <f t="shared" si="3"/>
        <v>20544</v>
      </c>
      <c r="K7" s="12">
        <f t="shared" si="4"/>
        <v>25680</v>
      </c>
      <c r="L7" s="12">
        <f t="shared" si="5"/>
        <v>30816</v>
      </c>
      <c r="M7" s="55"/>
      <c r="N7" s="61" t="s">
        <v>337</v>
      </c>
    </row>
    <row r="8" spans="1:22" s="8" customFormat="1" ht="30" customHeight="1" x14ac:dyDescent="0.5">
      <c r="A8" s="107" t="s">
        <v>193</v>
      </c>
      <c r="B8" s="107" t="s">
        <v>15</v>
      </c>
      <c r="C8" s="107" t="s">
        <v>16</v>
      </c>
      <c r="D8" s="107" t="s">
        <v>17</v>
      </c>
      <c r="E8" s="107" t="s">
        <v>141</v>
      </c>
      <c r="F8" s="107" t="s">
        <v>162</v>
      </c>
      <c r="G8" s="107"/>
      <c r="H8" s="107"/>
      <c r="I8" s="107"/>
      <c r="J8" s="107"/>
      <c r="K8" s="107"/>
      <c r="L8" s="107"/>
      <c r="M8" s="11"/>
      <c r="N8" s="21"/>
    </row>
    <row r="9" spans="1:22" s="8" customFormat="1" ht="30" customHeight="1" x14ac:dyDescent="0.5">
      <c r="A9" s="107"/>
      <c r="B9" s="107"/>
      <c r="C9" s="107"/>
      <c r="D9" s="107"/>
      <c r="E9" s="107"/>
      <c r="F9" s="11" t="s">
        <v>8</v>
      </c>
      <c r="G9" s="11" t="s">
        <v>0</v>
      </c>
      <c r="H9" s="11" t="s">
        <v>143</v>
      </c>
      <c r="I9" s="11" t="s">
        <v>144</v>
      </c>
      <c r="J9" s="11" t="s">
        <v>145</v>
      </c>
      <c r="K9" s="11" t="s">
        <v>146</v>
      </c>
      <c r="L9" s="11" t="s">
        <v>147</v>
      </c>
      <c r="M9" s="11" t="s">
        <v>0</v>
      </c>
      <c r="N9" s="21"/>
    </row>
    <row r="10" spans="1:22" s="9" customFormat="1" ht="30" customHeight="1" x14ac:dyDescent="0.5">
      <c r="A10" s="12" t="s">
        <v>10</v>
      </c>
      <c r="B10" s="3"/>
      <c r="C10" s="3"/>
      <c r="D10" s="3"/>
      <c r="E10" s="3">
        <v>100</v>
      </c>
      <c r="F10" s="3">
        <v>25</v>
      </c>
      <c r="G10" s="3">
        <f>F10*12</f>
        <v>300</v>
      </c>
      <c r="H10" s="3">
        <f>G10*2</f>
        <v>600</v>
      </c>
      <c r="I10" s="3">
        <f>G10*3</f>
        <v>900</v>
      </c>
      <c r="J10" s="3">
        <f>I10+G10</f>
        <v>1200</v>
      </c>
      <c r="K10" s="3">
        <f>I10+H10</f>
        <v>1500</v>
      </c>
      <c r="L10" s="12">
        <f>I10*2</f>
        <v>1800</v>
      </c>
      <c r="M10" s="3">
        <f>L10*12</f>
        <v>21600</v>
      </c>
      <c r="N10" s="21"/>
      <c r="O10" s="8"/>
      <c r="P10" s="8"/>
      <c r="Q10" s="8"/>
      <c r="R10" s="8"/>
      <c r="S10" s="8"/>
      <c r="T10" s="8"/>
      <c r="U10" s="8"/>
      <c r="V10" s="8"/>
    </row>
    <row r="11" spans="1:22" s="8" customFormat="1" ht="30" customHeight="1" x14ac:dyDescent="0.5">
      <c r="A11" s="107" t="s">
        <v>194</v>
      </c>
      <c r="B11" s="107" t="s">
        <v>15</v>
      </c>
      <c r="C11" s="107" t="s">
        <v>16</v>
      </c>
      <c r="D11" s="107" t="s">
        <v>17</v>
      </c>
      <c r="E11" s="107" t="s">
        <v>195</v>
      </c>
      <c r="F11" s="107" t="s">
        <v>196</v>
      </c>
      <c r="G11" s="107"/>
      <c r="H11" s="107"/>
      <c r="I11" s="107"/>
      <c r="J11" s="107"/>
      <c r="K11" s="107"/>
      <c r="L11" s="107"/>
      <c r="M11" s="11"/>
      <c r="N11" s="21"/>
    </row>
    <row r="12" spans="1:22" s="8" customFormat="1" ht="30" customHeight="1" x14ac:dyDescent="0.5">
      <c r="A12" s="107"/>
      <c r="B12" s="107"/>
      <c r="C12" s="107"/>
      <c r="D12" s="107"/>
      <c r="E12" s="107"/>
      <c r="F12" s="11" t="s">
        <v>8</v>
      </c>
      <c r="G12" s="11" t="s">
        <v>0</v>
      </c>
      <c r="H12" s="11" t="s">
        <v>143</v>
      </c>
      <c r="I12" s="11" t="s">
        <v>144</v>
      </c>
      <c r="J12" s="11" t="s">
        <v>145</v>
      </c>
      <c r="K12" s="11" t="s">
        <v>146</v>
      </c>
      <c r="L12" s="11" t="s">
        <v>147</v>
      </c>
      <c r="M12" s="11" t="s">
        <v>0</v>
      </c>
      <c r="N12" s="21"/>
    </row>
    <row r="13" spans="1:22" s="9" customFormat="1" ht="30" customHeight="1" x14ac:dyDescent="0.5">
      <c r="A13" s="12" t="s">
        <v>12</v>
      </c>
      <c r="B13" s="3">
        <v>0</v>
      </c>
      <c r="C13" s="3">
        <v>0</v>
      </c>
      <c r="D13" s="3">
        <v>0</v>
      </c>
      <c r="E13" s="3">
        <v>1</v>
      </c>
      <c r="F13" s="24">
        <v>20</v>
      </c>
      <c r="G13" s="24">
        <f>F13*12</f>
        <v>240</v>
      </c>
      <c r="H13" s="24">
        <f>G13*2</f>
        <v>480</v>
      </c>
      <c r="I13" s="24">
        <f>G13*3</f>
        <v>720</v>
      </c>
      <c r="J13" s="3">
        <f>I13+G13</f>
        <v>960</v>
      </c>
      <c r="K13" s="3">
        <f>I13+H13</f>
        <v>1200</v>
      </c>
      <c r="L13" s="12">
        <f>I13*2</f>
        <v>1440</v>
      </c>
      <c r="M13" s="24">
        <f>L13*12</f>
        <v>17280</v>
      </c>
      <c r="N13" s="21"/>
      <c r="O13" s="8"/>
      <c r="P13" s="8"/>
      <c r="Q13" s="8"/>
      <c r="R13" s="8"/>
      <c r="S13" s="8"/>
      <c r="T13" s="8"/>
      <c r="U13" s="8"/>
      <c r="V13" s="8"/>
    </row>
    <row r="16" spans="1:22" s="8" customFormat="1" ht="30" customHeight="1" x14ac:dyDescent="0.5">
      <c r="A16" s="56" t="s">
        <v>225</v>
      </c>
      <c r="B16" s="56">
        <v>4</v>
      </c>
      <c r="C16" s="56">
        <v>8</v>
      </c>
      <c r="D16" s="56">
        <v>2</v>
      </c>
      <c r="E16" s="56"/>
      <c r="F16" s="57">
        <v>75</v>
      </c>
      <c r="G16" s="55">
        <f t="shared" ref="G16" si="6">F16*12</f>
        <v>900</v>
      </c>
      <c r="H16" s="55">
        <f t="shared" ref="H16" si="7">G16*2</f>
        <v>1800</v>
      </c>
      <c r="I16" s="55">
        <f t="shared" ref="I16" si="8">G16*3</f>
        <v>2700</v>
      </c>
      <c r="J16" s="56">
        <f t="shared" ref="J16" si="9">I16+G16</f>
        <v>3600</v>
      </c>
      <c r="K16" s="56">
        <f t="shared" ref="K16" si="10">I16+H16</f>
        <v>4500</v>
      </c>
      <c r="L16" s="56">
        <f t="shared" ref="L16" si="11">I16*2</f>
        <v>5400</v>
      </c>
      <c r="M16" s="55" t="s">
        <v>320</v>
      </c>
      <c r="N16" s="61" t="s">
        <v>338</v>
      </c>
    </row>
  </sheetData>
  <mergeCells count="19">
    <mergeCell ref="A1:L1"/>
    <mergeCell ref="A2:A3"/>
    <mergeCell ref="B2:B3"/>
    <mergeCell ref="C2:C3"/>
    <mergeCell ref="D2:D3"/>
    <mergeCell ref="E2:E3"/>
    <mergeCell ref="F2:L2"/>
    <mergeCell ref="F11:L11"/>
    <mergeCell ref="A8:A9"/>
    <mergeCell ref="B8:B9"/>
    <mergeCell ref="C8:C9"/>
    <mergeCell ref="D8:D9"/>
    <mergeCell ref="E8:E9"/>
    <mergeCell ref="F8:L8"/>
    <mergeCell ref="A11:A12"/>
    <mergeCell ref="B11:B12"/>
    <mergeCell ref="C11:C12"/>
    <mergeCell ref="D11:D12"/>
    <mergeCell ref="E11:E12"/>
  </mergeCells>
  <phoneticPr fontId="16" type="noConversion"/>
  <hyperlinks>
    <hyperlink ref="N1" location="'B0-list价格索引'!A1" display="返回 索引表" xr:uid="{26079769-0BA3-4EEC-84D4-1EC5AADE0DB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N16"/>
  <sheetViews>
    <sheetView showGridLines="0" workbookViewId="0">
      <selection activeCell="A7" sqref="A7:G7"/>
    </sheetView>
  </sheetViews>
  <sheetFormatPr defaultColWidth="9" defaultRowHeight="16.5" customHeight="1" x14ac:dyDescent="0.5"/>
  <cols>
    <col min="1" max="1" width="68.17578125" style="8" customWidth="1"/>
    <col min="2" max="2" width="6.46875" style="8" customWidth="1"/>
    <col min="3" max="5" width="9.64453125" style="8" customWidth="1"/>
    <col min="6" max="6" width="7.8203125" style="8" customWidth="1"/>
    <col min="7" max="9" width="8.46875" style="8" customWidth="1"/>
    <col min="10" max="11" width="9" style="8" customWidth="1"/>
    <col min="12" max="12" width="10.17578125" style="8" customWidth="1"/>
    <col min="13" max="13" width="9.64453125" style="8" customWidth="1"/>
    <col min="14" max="40" width="9" style="8"/>
  </cols>
  <sheetData>
    <row r="1" spans="1:21" ht="38.25" customHeight="1" x14ac:dyDescent="0.5">
      <c r="A1" s="106" t="s">
        <v>13</v>
      </c>
      <c r="B1" s="106"/>
      <c r="C1" s="106"/>
      <c r="D1" s="106"/>
      <c r="E1" s="106"/>
      <c r="F1" s="106"/>
      <c r="G1" s="106"/>
      <c r="H1" s="106"/>
      <c r="I1" s="106"/>
      <c r="J1" s="106"/>
      <c r="K1" s="106"/>
      <c r="L1" s="106"/>
      <c r="M1" s="18" t="s">
        <v>14</v>
      </c>
    </row>
    <row r="2" spans="1:21" ht="30" customHeight="1" x14ac:dyDescent="0.5">
      <c r="A2" s="107" t="s">
        <v>163</v>
      </c>
      <c r="B2" s="107" t="s">
        <v>15</v>
      </c>
      <c r="C2" s="107" t="s">
        <v>16</v>
      </c>
      <c r="D2" s="107" t="s">
        <v>17</v>
      </c>
      <c r="E2" s="107" t="s">
        <v>141</v>
      </c>
      <c r="F2" s="107" t="s">
        <v>18</v>
      </c>
      <c r="G2" s="107"/>
      <c r="H2" s="107"/>
      <c r="I2" s="107"/>
      <c r="J2" s="107"/>
      <c r="K2" s="107"/>
      <c r="L2" s="107"/>
      <c r="M2" s="21"/>
    </row>
    <row r="3" spans="1:21" ht="30" customHeight="1" x14ac:dyDescent="0.5">
      <c r="A3" s="107"/>
      <c r="B3" s="107"/>
      <c r="C3" s="107"/>
      <c r="D3" s="107"/>
      <c r="E3" s="107"/>
      <c r="F3" s="11" t="s">
        <v>8</v>
      </c>
      <c r="G3" s="11" t="s">
        <v>0</v>
      </c>
      <c r="H3" s="11" t="s">
        <v>143</v>
      </c>
      <c r="I3" s="11" t="s">
        <v>144</v>
      </c>
      <c r="J3" s="11" t="s">
        <v>145</v>
      </c>
      <c r="K3" s="11" t="s">
        <v>146</v>
      </c>
      <c r="L3" s="11" t="s">
        <v>147</v>
      </c>
      <c r="M3" s="21"/>
    </row>
    <row r="4" spans="1:21" ht="30" customHeight="1" x14ac:dyDescent="0.5">
      <c r="A4" s="12" t="s">
        <v>225</v>
      </c>
      <c r="B4" s="12">
        <v>4</v>
      </c>
      <c r="C4" s="12">
        <v>8</v>
      </c>
      <c r="D4" s="12">
        <v>2</v>
      </c>
      <c r="E4" s="12"/>
      <c r="F4" s="26">
        <v>125</v>
      </c>
      <c r="G4" s="23">
        <f t="shared" ref="G4:G10" si="0">F4*12</f>
        <v>1500</v>
      </c>
      <c r="H4" s="23">
        <f t="shared" ref="H4:H10" si="1">G4*2</f>
        <v>3000</v>
      </c>
      <c r="I4" s="23">
        <f t="shared" ref="I4:I10" si="2">G4*3</f>
        <v>4500</v>
      </c>
      <c r="J4" s="12">
        <f t="shared" ref="J4:J10" si="3">I4+G4</f>
        <v>6000</v>
      </c>
      <c r="K4" s="12">
        <f t="shared" ref="K4:K10" si="4">I4+H4</f>
        <v>7500</v>
      </c>
      <c r="L4" s="12">
        <f t="shared" ref="L4:L10" si="5">I4*2</f>
        <v>9000</v>
      </c>
      <c r="M4" s="21"/>
    </row>
    <row r="5" spans="1:21" ht="30" customHeight="1" x14ac:dyDescent="0.5">
      <c r="A5" s="12" t="s">
        <v>226</v>
      </c>
      <c r="B5" s="12">
        <v>6</v>
      </c>
      <c r="C5" s="12">
        <v>12</v>
      </c>
      <c r="D5" s="12">
        <v>2</v>
      </c>
      <c r="E5" s="12"/>
      <c r="F5" s="26">
        <v>133</v>
      </c>
      <c r="G5" s="23">
        <f t="shared" si="0"/>
        <v>1596</v>
      </c>
      <c r="H5" s="23">
        <f t="shared" si="1"/>
        <v>3192</v>
      </c>
      <c r="I5" s="23">
        <f t="shared" si="2"/>
        <v>4788</v>
      </c>
      <c r="J5" s="12">
        <f t="shared" si="3"/>
        <v>6384</v>
      </c>
      <c r="K5" s="12">
        <f t="shared" si="4"/>
        <v>7980</v>
      </c>
      <c r="L5" s="12">
        <f t="shared" si="5"/>
        <v>9576</v>
      </c>
      <c r="M5" s="21"/>
    </row>
    <row r="6" spans="1:21" ht="30" customHeight="1" x14ac:dyDescent="0.5">
      <c r="A6" s="12" t="s">
        <v>227</v>
      </c>
      <c r="B6" s="12">
        <v>8</v>
      </c>
      <c r="C6" s="12">
        <v>16</v>
      </c>
      <c r="D6" s="12">
        <v>2</v>
      </c>
      <c r="E6" s="12"/>
      <c r="F6" s="26">
        <v>165</v>
      </c>
      <c r="G6" s="23">
        <f t="shared" si="0"/>
        <v>1980</v>
      </c>
      <c r="H6" s="23">
        <f t="shared" si="1"/>
        <v>3960</v>
      </c>
      <c r="I6" s="23">
        <f t="shared" si="2"/>
        <v>5940</v>
      </c>
      <c r="J6" s="12">
        <f t="shared" si="3"/>
        <v>7920</v>
      </c>
      <c r="K6" s="12">
        <f t="shared" si="4"/>
        <v>9900</v>
      </c>
      <c r="L6" s="12">
        <f t="shared" si="5"/>
        <v>11880</v>
      </c>
      <c r="M6" s="21"/>
    </row>
    <row r="7" spans="1:21" ht="30" customHeight="1" x14ac:dyDescent="0.5">
      <c r="A7" s="12" t="s">
        <v>228</v>
      </c>
      <c r="B7" s="12">
        <v>8</v>
      </c>
      <c r="C7" s="12">
        <v>16</v>
      </c>
      <c r="D7" s="12">
        <v>4</v>
      </c>
      <c r="E7" s="12"/>
      <c r="F7" s="26">
        <v>217</v>
      </c>
      <c r="G7" s="23">
        <f t="shared" si="0"/>
        <v>2604</v>
      </c>
      <c r="H7" s="23">
        <f t="shared" si="1"/>
        <v>5208</v>
      </c>
      <c r="I7" s="23">
        <f t="shared" si="2"/>
        <v>7812</v>
      </c>
      <c r="J7" s="12">
        <f t="shared" si="3"/>
        <v>10416</v>
      </c>
      <c r="K7" s="12">
        <f t="shared" si="4"/>
        <v>13020</v>
      </c>
      <c r="L7" s="12">
        <f t="shared" si="5"/>
        <v>15624</v>
      </c>
      <c r="M7" s="21"/>
    </row>
    <row r="8" spans="1:21" ht="30" customHeight="1" x14ac:dyDescent="0.5">
      <c r="A8" s="12" t="s">
        <v>229</v>
      </c>
      <c r="B8" s="12">
        <v>16</v>
      </c>
      <c r="C8" s="12">
        <v>32</v>
      </c>
      <c r="D8" s="12">
        <v>8</v>
      </c>
      <c r="E8" s="12"/>
      <c r="F8" s="26">
        <v>432</v>
      </c>
      <c r="G8" s="23">
        <f t="shared" si="0"/>
        <v>5184</v>
      </c>
      <c r="H8" s="23">
        <f t="shared" si="1"/>
        <v>10368</v>
      </c>
      <c r="I8" s="23">
        <f t="shared" si="2"/>
        <v>15552</v>
      </c>
      <c r="J8" s="12">
        <f t="shared" si="3"/>
        <v>20736</v>
      </c>
      <c r="K8" s="12">
        <f t="shared" si="4"/>
        <v>25920</v>
      </c>
      <c r="L8" s="12">
        <f t="shared" si="5"/>
        <v>31104</v>
      </c>
      <c r="M8" s="21"/>
    </row>
    <row r="9" spans="1:21" ht="30" customHeight="1" x14ac:dyDescent="0.5">
      <c r="A9" s="12" t="s">
        <v>230</v>
      </c>
      <c r="B9" s="12">
        <v>16</v>
      </c>
      <c r="C9" s="12">
        <v>32</v>
      </c>
      <c r="D9" s="12">
        <v>12</v>
      </c>
      <c r="E9" s="12"/>
      <c r="F9" s="26">
        <v>593</v>
      </c>
      <c r="G9" s="23">
        <f t="shared" si="0"/>
        <v>7116</v>
      </c>
      <c r="H9" s="23">
        <f t="shared" si="1"/>
        <v>14232</v>
      </c>
      <c r="I9" s="23">
        <f t="shared" si="2"/>
        <v>21348</v>
      </c>
      <c r="J9" s="12">
        <f t="shared" si="3"/>
        <v>28464</v>
      </c>
      <c r="K9" s="12">
        <f t="shared" si="4"/>
        <v>35580</v>
      </c>
      <c r="L9" s="12">
        <f t="shared" si="5"/>
        <v>42696</v>
      </c>
      <c r="M9" s="21"/>
    </row>
    <row r="10" spans="1:21" ht="30" customHeight="1" x14ac:dyDescent="0.5">
      <c r="A10" s="12" t="s">
        <v>231</v>
      </c>
      <c r="B10" s="12">
        <v>32</v>
      </c>
      <c r="C10" s="12">
        <v>64</v>
      </c>
      <c r="D10" s="12">
        <v>12</v>
      </c>
      <c r="E10" s="12"/>
      <c r="F10" s="26">
        <v>750</v>
      </c>
      <c r="G10" s="23">
        <f t="shared" si="0"/>
        <v>9000</v>
      </c>
      <c r="H10" s="23">
        <f t="shared" si="1"/>
        <v>18000</v>
      </c>
      <c r="I10" s="23">
        <f t="shared" si="2"/>
        <v>27000</v>
      </c>
      <c r="J10" s="12">
        <f t="shared" si="3"/>
        <v>36000</v>
      </c>
      <c r="K10" s="12">
        <f t="shared" si="4"/>
        <v>45000</v>
      </c>
      <c r="L10" s="12">
        <f t="shared" si="5"/>
        <v>54000</v>
      </c>
      <c r="M10" s="21"/>
    </row>
    <row r="11" spans="1:21" ht="30" customHeight="1" x14ac:dyDescent="0.5">
      <c r="A11" s="107" t="s">
        <v>193</v>
      </c>
      <c r="B11" s="107" t="s">
        <v>15</v>
      </c>
      <c r="C11" s="107" t="s">
        <v>16</v>
      </c>
      <c r="D11" s="107" t="s">
        <v>17</v>
      </c>
      <c r="E11" s="107" t="s">
        <v>141</v>
      </c>
      <c r="F11" s="107" t="s">
        <v>162</v>
      </c>
      <c r="G11" s="107"/>
      <c r="H11" s="107"/>
      <c r="I11" s="107"/>
      <c r="J11" s="107"/>
      <c r="K11" s="107"/>
      <c r="L11" s="107"/>
      <c r="M11" s="21"/>
    </row>
    <row r="12" spans="1:21" ht="30" customHeight="1" x14ac:dyDescent="0.5">
      <c r="A12" s="107"/>
      <c r="B12" s="107"/>
      <c r="C12" s="107"/>
      <c r="D12" s="107"/>
      <c r="E12" s="107"/>
      <c r="F12" s="11" t="s">
        <v>8</v>
      </c>
      <c r="G12" s="11" t="s">
        <v>0</v>
      </c>
      <c r="H12" s="11" t="s">
        <v>143</v>
      </c>
      <c r="I12" s="11" t="s">
        <v>144</v>
      </c>
      <c r="J12" s="11" t="s">
        <v>145</v>
      </c>
      <c r="K12" s="11" t="s">
        <v>146</v>
      </c>
      <c r="L12" s="11" t="s">
        <v>147</v>
      </c>
      <c r="M12" s="21"/>
    </row>
    <row r="13" spans="1:21" s="9" customFormat="1" ht="30" customHeight="1" x14ac:dyDescent="0.5">
      <c r="A13" s="12" t="s">
        <v>10</v>
      </c>
      <c r="B13" s="3"/>
      <c r="C13" s="3"/>
      <c r="D13" s="3"/>
      <c r="E13" s="3">
        <v>100</v>
      </c>
      <c r="F13" s="3">
        <v>25</v>
      </c>
      <c r="G13" s="3">
        <f>F13*12</f>
        <v>300</v>
      </c>
      <c r="H13" s="3">
        <f>G13*2</f>
        <v>600</v>
      </c>
      <c r="I13" s="3">
        <f>G13*3</f>
        <v>900</v>
      </c>
      <c r="J13" s="3">
        <f>I13+G13</f>
        <v>1200</v>
      </c>
      <c r="K13" s="3">
        <f>I13+H13</f>
        <v>1500</v>
      </c>
      <c r="L13" s="12">
        <f>I13*2</f>
        <v>1800</v>
      </c>
      <c r="M13" s="21"/>
      <c r="N13" s="8"/>
      <c r="O13" s="8"/>
      <c r="P13" s="8"/>
      <c r="Q13" s="8"/>
      <c r="R13" s="8"/>
      <c r="S13" s="8"/>
      <c r="T13" s="8"/>
      <c r="U13" s="8"/>
    </row>
    <row r="14" spans="1:21" ht="30" customHeight="1" x14ac:dyDescent="0.5">
      <c r="A14" s="107" t="s">
        <v>194</v>
      </c>
      <c r="B14" s="107" t="s">
        <v>15</v>
      </c>
      <c r="C14" s="107" t="s">
        <v>16</v>
      </c>
      <c r="D14" s="107" t="s">
        <v>17</v>
      </c>
      <c r="E14" s="107" t="s">
        <v>195</v>
      </c>
      <c r="F14" s="107" t="s">
        <v>196</v>
      </c>
      <c r="G14" s="107"/>
      <c r="H14" s="107"/>
      <c r="I14" s="107"/>
      <c r="J14" s="107"/>
      <c r="K14" s="107"/>
      <c r="L14" s="107"/>
      <c r="M14" s="21"/>
    </row>
    <row r="15" spans="1:21" ht="30" customHeight="1" x14ac:dyDescent="0.5">
      <c r="A15" s="107"/>
      <c r="B15" s="107"/>
      <c r="C15" s="107"/>
      <c r="D15" s="107"/>
      <c r="E15" s="107"/>
      <c r="F15" s="11" t="s">
        <v>8</v>
      </c>
      <c r="G15" s="11" t="s">
        <v>0</v>
      </c>
      <c r="H15" s="11" t="s">
        <v>143</v>
      </c>
      <c r="I15" s="11" t="s">
        <v>144</v>
      </c>
      <c r="J15" s="11" t="s">
        <v>145</v>
      </c>
      <c r="K15" s="11" t="s">
        <v>146</v>
      </c>
      <c r="L15" s="11" t="s">
        <v>147</v>
      </c>
      <c r="M15" s="21"/>
    </row>
    <row r="16" spans="1:21" s="9" customFormat="1" ht="30" customHeight="1" x14ac:dyDescent="0.5">
      <c r="A16" s="12" t="s">
        <v>12</v>
      </c>
      <c r="B16" s="3">
        <v>0</v>
      </c>
      <c r="C16" s="3">
        <v>0</v>
      </c>
      <c r="D16" s="3">
        <v>0</v>
      </c>
      <c r="E16" s="3">
        <v>1</v>
      </c>
      <c r="F16" s="24">
        <v>20</v>
      </c>
      <c r="G16" s="24">
        <f>F16*12</f>
        <v>240</v>
      </c>
      <c r="H16" s="24">
        <f>G16*2</f>
        <v>480</v>
      </c>
      <c r="I16" s="24">
        <f>G16*3</f>
        <v>720</v>
      </c>
      <c r="J16" s="3">
        <f>I16+G16</f>
        <v>960</v>
      </c>
      <c r="K16" s="3">
        <f>I16+H16</f>
        <v>1200</v>
      </c>
      <c r="L16" s="12">
        <f>I16*2</f>
        <v>1440</v>
      </c>
      <c r="M16" s="21"/>
      <c r="N16" s="8"/>
      <c r="O16" s="8"/>
      <c r="P16" s="8"/>
      <c r="Q16" s="8"/>
      <c r="R16" s="8"/>
      <c r="S16" s="8"/>
      <c r="T16" s="8"/>
      <c r="U16" s="8"/>
    </row>
  </sheetData>
  <mergeCells count="19">
    <mergeCell ref="D2:D3"/>
    <mergeCell ref="C11:C12"/>
    <mergeCell ref="E14:E15"/>
    <mergeCell ref="A1:L1"/>
    <mergeCell ref="F2:L2"/>
    <mergeCell ref="F11:L11"/>
    <mergeCell ref="F14:L14"/>
    <mergeCell ref="A2:A3"/>
    <mergeCell ref="E11:E12"/>
    <mergeCell ref="B14:B15"/>
    <mergeCell ref="C14:C15"/>
    <mergeCell ref="B2:B3"/>
    <mergeCell ref="A11:A12"/>
    <mergeCell ref="C2:C3"/>
    <mergeCell ref="A14:A15"/>
    <mergeCell ref="D14:D15"/>
    <mergeCell ref="E2:E3"/>
    <mergeCell ref="B11:B12"/>
    <mergeCell ref="D11:D12"/>
  </mergeCells>
  <phoneticPr fontId="16" type="noConversion"/>
  <hyperlinks>
    <hyperlink ref="M1" location="'B0-list价格索引'!A1" display="返回 索引表" xr:uid="{00000000-0004-0000-16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C2B8-FA40-457B-8D61-46C6B72FD843}">
  <dimension ref="A1:AN16"/>
  <sheetViews>
    <sheetView showGridLines="0" workbookViewId="0">
      <selection activeCell="F5" sqref="F5"/>
    </sheetView>
  </sheetViews>
  <sheetFormatPr defaultColWidth="9" defaultRowHeight="16.5" customHeight="1" x14ac:dyDescent="0.5"/>
  <cols>
    <col min="1" max="1" width="68.17578125" style="8" customWidth="1"/>
    <col min="2" max="2" width="6.46875" style="8" customWidth="1"/>
    <col min="3" max="5" width="9.64453125" style="8" customWidth="1"/>
    <col min="6" max="6" width="7.8203125" style="8" customWidth="1"/>
    <col min="7" max="9" width="8.46875" style="8" customWidth="1"/>
    <col min="10" max="11" width="9" style="8" customWidth="1"/>
    <col min="12" max="12" width="10.17578125" style="8" customWidth="1"/>
    <col min="13" max="13" width="9.64453125" style="8" customWidth="1"/>
    <col min="14" max="40" width="9" style="8"/>
  </cols>
  <sheetData>
    <row r="1" spans="1:21" ht="38.25" customHeight="1" x14ac:dyDescent="0.5">
      <c r="A1" s="106" t="s">
        <v>13</v>
      </c>
      <c r="B1" s="106"/>
      <c r="C1" s="106"/>
      <c r="D1" s="106"/>
      <c r="E1" s="106"/>
      <c r="F1" s="106"/>
      <c r="G1" s="106"/>
      <c r="H1" s="106"/>
      <c r="I1" s="106"/>
      <c r="J1" s="106"/>
      <c r="K1" s="106"/>
      <c r="L1" s="106"/>
      <c r="M1" s="18" t="s">
        <v>14</v>
      </c>
    </row>
    <row r="2" spans="1:21" ht="30" customHeight="1" x14ac:dyDescent="0.5">
      <c r="A2" s="107" t="s">
        <v>163</v>
      </c>
      <c r="B2" s="107" t="s">
        <v>15</v>
      </c>
      <c r="C2" s="107" t="s">
        <v>16</v>
      </c>
      <c r="D2" s="107" t="s">
        <v>17</v>
      </c>
      <c r="E2" s="107" t="s">
        <v>141</v>
      </c>
      <c r="F2" s="107" t="s">
        <v>18</v>
      </c>
      <c r="G2" s="107"/>
      <c r="H2" s="107"/>
      <c r="I2" s="107"/>
      <c r="J2" s="107"/>
      <c r="K2" s="107"/>
      <c r="L2" s="107"/>
      <c r="M2" s="21"/>
    </row>
    <row r="3" spans="1:21" ht="30" customHeight="1" x14ac:dyDescent="0.5">
      <c r="A3" s="107"/>
      <c r="B3" s="107"/>
      <c r="C3" s="107"/>
      <c r="D3" s="107"/>
      <c r="E3" s="107"/>
      <c r="F3" s="11" t="s">
        <v>8</v>
      </c>
      <c r="G3" s="11" t="s">
        <v>0</v>
      </c>
      <c r="H3" s="11" t="s">
        <v>143</v>
      </c>
      <c r="I3" s="11" t="s">
        <v>144</v>
      </c>
      <c r="J3" s="11" t="s">
        <v>145</v>
      </c>
      <c r="K3" s="11" t="s">
        <v>146</v>
      </c>
      <c r="L3" s="11" t="s">
        <v>147</v>
      </c>
      <c r="M3" s="21"/>
    </row>
    <row r="4" spans="1:21" ht="30" customHeight="1" x14ac:dyDescent="0.5">
      <c r="A4" s="12" t="s">
        <v>225</v>
      </c>
      <c r="B4" s="12">
        <v>4</v>
      </c>
      <c r="C4" s="12">
        <v>8</v>
      </c>
      <c r="D4" s="12">
        <v>2</v>
      </c>
      <c r="E4" s="12"/>
      <c r="F4" s="26">
        <v>125</v>
      </c>
      <c r="G4" s="23">
        <f t="shared" ref="G4:G10" si="0">F4*12</f>
        <v>1500</v>
      </c>
      <c r="H4" s="23">
        <f t="shared" ref="H4:H10" si="1">G4*2</f>
        <v>3000</v>
      </c>
      <c r="I4" s="23">
        <f t="shared" ref="I4:I10" si="2">G4*3</f>
        <v>4500</v>
      </c>
      <c r="J4" s="12">
        <f t="shared" ref="J4:J10" si="3">I4+G4</f>
        <v>6000</v>
      </c>
      <c r="K4" s="12">
        <f t="shared" ref="K4:K10" si="4">I4+H4</f>
        <v>7500</v>
      </c>
      <c r="L4" s="12">
        <f t="shared" ref="L4:L10" si="5">I4*2</f>
        <v>9000</v>
      </c>
      <c r="M4" s="21"/>
    </row>
    <row r="5" spans="1:21" ht="30" customHeight="1" x14ac:dyDescent="0.5">
      <c r="A5" s="12" t="s">
        <v>226</v>
      </c>
      <c r="B5" s="12">
        <v>6</v>
      </c>
      <c r="C5" s="12">
        <v>12</v>
      </c>
      <c r="D5" s="12">
        <v>2</v>
      </c>
      <c r="E5" s="12"/>
      <c r="F5" s="26">
        <v>133</v>
      </c>
      <c r="G5" s="23">
        <f t="shared" si="0"/>
        <v>1596</v>
      </c>
      <c r="H5" s="23">
        <f t="shared" si="1"/>
        <v>3192</v>
      </c>
      <c r="I5" s="23">
        <f t="shared" si="2"/>
        <v>4788</v>
      </c>
      <c r="J5" s="12">
        <f t="shared" si="3"/>
        <v>6384</v>
      </c>
      <c r="K5" s="12">
        <f t="shared" si="4"/>
        <v>7980</v>
      </c>
      <c r="L5" s="12">
        <f t="shared" si="5"/>
        <v>9576</v>
      </c>
      <c r="M5" s="21"/>
    </row>
    <row r="6" spans="1:21" ht="30" customHeight="1" x14ac:dyDescent="0.5">
      <c r="A6" s="12" t="s">
        <v>227</v>
      </c>
      <c r="B6" s="12">
        <v>8</v>
      </c>
      <c r="C6" s="12">
        <v>16</v>
      </c>
      <c r="D6" s="12">
        <v>2</v>
      </c>
      <c r="E6" s="12"/>
      <c r="F6" s="26">
        <v>165</v>
      </c>
      <c r="G6" s="23">
        <f t="shared" si="0"/>
        <v>1980</v>
      </c>
      <c r="H6" s="23">
        <f t="shared" si="1"/>
        <v>3960</v>
      </c>
      <c r="I6" s="23">
        <f t="shared" si="2"/>
        <v>5940</v>
      </c>
      <c r="J6" s="12">
        <f t="shared" si="3"/>
        <v>7920</v>
      </c>
      <c r="K6" s="12">
        <f t="shared" si="4"/>
        <v>9900</v>
      </c>
      <c r="L6" s="12">
        <f t="shared" si="5"/>
        <v>11880</v>
      </c>
      <c r="M6" s="21"/>
    </row>
    <row r="7" spans="1:21" ht="30" customHeight="1" x14ac:dyDescent="0.5">
      <c r="A7" s="12" t="s">
        <v>228</v>
      </c>
      <c r="B7" s="12">
        <v>8</v>
      </c>
      <c r="C7" s="12">
        <v>16</v>
      </c>
      <c r="D7" s="12">
        <v>4</v>
      </c>
      <c r="E7" s="12"/>
      <c r="F7" s="26">
        <v>217</v>
      </c>
      <c r="G7" s="23">
        <f t="shared" si="0"/>
        <v>2604</v>
      </c>
      <c r="H7" s="23">
        <f t="shared" si="1"/>
        <v>5208</v>
      </c>
      <c r="I7" s="23">
        <f t="shared" si="2"/>
        <v>7812</v>
      </c>
      <c r="J7" s="12">
        <f t="shared" si="3"/>
        <v>10416</v>
      </c>
      <c r="K7" s="12">
        <f t="shared" si="4"/>
        <v>13020</v>
      </c>
      <c r="L7" s="12">
        <f t="shared" si="5"/>
        <v>15624</v>
      </c>
      <c r="M7" s="21"/>
    </row>
    <row r="8" spans="1:21" ht="30" customHeight="1" x14ac:dyDescent="0.5">
      <c r="A8" s="12" t="s">
        <v>229</v>
      </c>
      <c r="B8" s="12">
        <v>16</v>
      </c>
      <c r="C8" s="12">
        <v>32</v>
      </c>
      <c r="D8" s="12">
        <v>8</v>
      </c>
      <c r="E8" s="12"/>
      <c r="F8" s="26">
        <v>432</v>
      </c>
      <c r="G8" s="23">
        <f t="shared" si="0"/>
        <v>5184</v>
      </c>
      <c r="H8" s="23">
        <f t="shared" si="1"/>
        <v>10368</v>
      </c>
      <c r="I8" s="23">
        <f t="shared" si="2"/>
        <v>15552</v>
      </c>
      <c r="J8" s="12">
        <f t="shared" si="3"/>
        <v>20736</v>
      </c>
      <c r="K8" s="12">
        <f t="shared" si="4"/>
        <v>25920</v>
      </c>
      <c r="L8" s="12">
        <f t="shared" si="5"/>
        <v>31104</v>
      </c>
      <c r="M8" s="21"/>
    </row>
    <row r="9" spans="1:21" ht="30" customHeight="1" x14ac:dyDescent="0.5">
      <c r="A9" s="12" t="s">
        <v>230</v>
      </c>
      <c r="B9" s="12">
        <v>16</v>
      </c>
      <c r="C9" s="12">
        <v>32</v>
      </c>
      <c r="D9" s="12">
        <v>12</v>
      </c>
      <c r="E9" s="12"/>
      <c r="F9" s="26">
        <v>593</v>
      </c>
      <c r="G9" s="23">
        <f t="shared" si="0"/>
        <v>7116</v>
      </c>
      <c r="H9" s="23">
        <f t="shared" si="1"/>
        <v>14232</v>
      </c>
      <c r="I9" s="23">
        <f t="shared" si="2"/>
        <v>21348</v>
      </c>
      <c r="J9" s="12">
        <f t="shared" si="3"/>
        <v>28464</v>
      </c>
      <c r="K9" s="12">
        <f t="shared" si="4"/>
        <v>35580</v>
      </c>
      <c r="L9" s="12">
        <f t="shared" si="5"/>
        <v>42696</v>
      </c>
      <c r="M9" s="21"/>
    </row>
    <row r="10" spans="1:21" ht="30" customHeight="1" x14ac:dyDescent="0.5">
      <c r="A10" s="12" t="s">
        <v>231</v>
      </c>
      <c r="B10" s="12">
        <v>32</v>
      </c>
      <c r="C10" s="12">
        <v>64</v>
      </c>
      <c r="D10" s="12">
        <v>12</v>
      </c>
      <c r="E10" s="12"/>
      <c r="F10" s="26">
        <v>750</v>
      </c>
      <c r="G10" s="23">
        <f t="shared" si="0"/>
        <v>9000</v>
      </c>
      <c r="H10" s="23">
        <f t="shared" si="1"/>
        <v>18000</v>
      </c>
      <c r="I10" s="23">
        <f t="shared" si="2"/>
        <v>27000</v>
      </c>
      <c r="J10" s="12">
        <f t="shared" si="3"/>
        <v>36000</v>
      </c>
      <c r="K10" s="12">
        <f t="shared" si="4"/>
        <v>45000</v>
      </c>
      <c r="L10" s="12">
        <f t="shared" si="5"/>
        <v>54000</v>
      </c>
      <c r="M10" s="21"/>
    </row>
    <row r="11" spans="1:21" ht="30" customHeight="1" x14ac:dyDescent="0.5">
      <c r="A11" s="107" t="s">
        <v>193</v>
      </c>
      <c r="B11" s="107" t="s">
        <v>15</v>
      </c>
      <c r="C11" s="107" t="s">
        <v>16</v>
      </c>
      <c r="D11" s="107" t="s">
        <v>17</v>
      </c>
      <c r="E11" s="107" t="s">
        <v>141</v>
      </c>
      <c r="F11" s="107" t="s">
        <v>162</v>
      </c>
      <c r="G11" s="107"/>
      <c r="H11" s="107"/>
      <c r="I11" s="107"/>
      <c r="J11" s="107"/>
      <c r="K11" s="107"/>
      <c r="L11" s="107"/>
      <c r="M11" s="21"/>
    </row>
    <row r="12" spans="1:21" ht="30" customHeight="1" x14ac:dyDescent="0.5">
      <c r="A12" s="107"/>
      <c r="B12" s="107"/>
      <c r="C12" s="107"/>
      <c r="D12" s="107"/>
      <c r="E12" s="107"/>
      <c r="F12" s="11" t="s">
        <v>8</v>
      </c>
      <c r="G12" s="11" t="s">
        <v>0</v>
      </c>
      <c r="H12" s="11" t="s">
        <v>143</v>
      </c>
      <c r="I12" s="11" t="s">
        <v>144</v>
      </c>
      <c r="J12" s="11" t="s">
        <v>145</v>
      </c>
      <c r="K12" s="11" t="s">
        <v>146</v>
      </c>
      <c r="L12" s="11" t="s">
        <v>147</v>
      </c>
      <c r="M12" s="21"/>
    </row>
    <row r="13" spans="1:21" s="9" customFormat="1" ht="30" customHeight="1" x14ac:dyDescent="0.5">
      <c r="A13" s="12" t="s">
        <v>10</v>
      </c>
      <c r="B13" s="3"/>
      <c r="C13" s="3"/>
      <c r="D13" s="3"/>
      <c r="E13" s="3">
        <v>100</v>
      </c>
      <c r="F13" s="3">
        <v>25</v>
      </c>
      <c r="G13" s="3">
        <f>F13*12</f>
        <v>300</v>
      </c>
      <c r="H13" s="3">
        <f>G13*2</f>
        <v>600</v>
      </c>
      <c r="I13" s="3">
        <f>G13*3</f>
        <v>900</v>
      </c>
      <c r="J13" s="3">
        <f>I13+G13</f>
        <v>1200</v>
      </c>
      <c r="K13" s="3">
        <f>I13+H13</f>
        <v>1500</v>
      </c>
      <c r="L13" s="12">
        <f>I13*2</f>
        <v>1800</v>
      </c>
      <c r="M13" s="21"/>
      <c r="N13" s="8"/>
      <c r="O13" s="8"/>
      <c r="P13" s="8"/>
      <c r="Q13" s="8"/>
      <c r="R13" s="8"/>
      <c r="S13" s="8"/>
      <c r="T13" s="8"/>
      <c r="U13" s="8"/>
    </row>
    <row r="14" spans="1:21" ht="30" customHeight="1" x14ac:dyDescent="0.5">
      <c r="A14" s="107" t="s">
        <v>194</v>
      </c>
      <c r="B14" s="107" t="s">
        <v>15</v>
      </c>
      <c r="C14" s="107" t="s">
        <v>16</v>
      </c>
      <c r="D14" s="107" t="s">
        <v>17</v>
      </c>
      <c r="E14" s="107" t="s">
        <v>195</v>
      </c>
      <c r="F14" s="107" t="s">
        <v>196</v>
      </c>
      <c r="G14" s="107"/>
      <c r="H14" s="107"/>
      <c r="I14" s="107"/>
      <c r="J14" s="107"/>
      <c r="K14" s="107"/>
      <c r="L14" s="107"/>
      <c r="M14" s="21"/>
    </row>
    <row r="15" spans="1:21" ht="30" customHeight="1" x14ac:dyDescent="0.5">
      <c r="A15" s="107"/>
      <c r="B15" s="107"/>
      <c r="C15" s="107"/>
      <c r="D15" s="107"/>
      <c r="E15" s="107"/>
      <c r="F15" s="11" t="s">
        <v>8</v>
      </c>
      <c r="G15" s="11" t="s">
        <v>0</v>
      </c>
      <c r="H15" s="11" t="s">
        <v>143</v>
      </c>
      <c r="I15" s="11" t="s">
        <v>144</v>
      </c>
      <c r="J15" s="11" t="s">
        <v>145</v>
      </c>
      <c r="K15" s="11" t="s">
        <v>146</v>
      </c>
      <c r="L15" s="11" t="s">
        <v>147</v>
      </c>
      <c r="M15" s="21"/>
    </row>
    <row r="16" spans="1:21" s="9" customFormat="1" ht="30" customHeight="1" x14ac:dyDescent="0.5">
      <c r="A16" s="12" t="s">
        <v>12</v>
      </c>
      <c r="B16" s="3">
        <v>0</v>
      </c>
      <c r="C16" s="3">
        <v>0</v>
      </c>
      <c r="D16" s="3">
        <v>0</v>
      </c>
      <c r="E16" s="3">
        <v>1</v>
      </c>
      <c r="F16" s="24">
        <v>20</v>
      </c>
      <c r="G16" s="24">
        <f>F16*12</f>
        <v>240</v>
      </c>
      <c r="H16" s="24">
        <f>G16*2</f>
        <v>480</v>
      </c>
      <c r="I16" s="24">
        <f>G16*3</f>
        <v>720</v>
      </c>
      <c r="J16" s="3">
        <f>I16+G16</f>
        <v>960</v>
      </c>
      <c r="K16" s="3">
        <f>I16+H16</f>
        <v>1200</v>
      </c>
      <c r="L16" s="12">
        <f>I16*2</f>
        <v>1440</v>
      </c>
      <c r="M16" s="21"/>
      <c r="N16" s="8"/>
      <c r="O16" s="8"/>
      <c r="P16" s="8"/>
      <c r="Q16" s="8"/>
      <c r="R16" s="8"/>
      <c r="S16" s="8"/>
      <c r="T16" s="8"/>
      <c r="U16" s="8"/>
    </row>
  </sheetData>
  <mergeCells count="19">
    <mergeCell ref="A1:L1"/>
    <mergeCell ref="A2:A3"/>
    <mergeCell ref="B2:B3"/>
    <mergeCell ref="C2:C3"/>
    <mergeCell ref="D2:D3"/>
    <mergeCell ref="E2:E3"/>
    <mergeCell ref="F2:L2"/>
    <mergeCell ref="F14:L14"/>
    <mergeCell ref="A11:A12"/>
    <mergeCell ref="B11:B12"/>
    <mergeCell ref="C11:C12"/>
    <mergeCell ref="D11:D12"/>
    <mergeCell ref="E11:E12"/>
    <mergeCell ref="F11:L11"/>
    <mergeCell ref="A14:A15"/>
    <mergeCell ref="B14:B15"/>
    <mergeCell ref="C14:C15"/>
    <mergeCell ref="D14:D15"/>
    <mergeCell ref="E14:E15"/>
  </mergeCells>
  <phoneticPr fontId="16" type="noConversion"/>
  <hyperlinks>
    <hyperlink ref="M1" location="'B0-list价格索引'!A1" display="返回 索引表" xr:uid="{AE700A3E-8630-4C7E-B119-7BEB611D577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AN32"/>
  <sheetViews>
    <sheetView showGridLines="0" topLeftCell="A25" workbookViewId="0">
      <selection activeCell="A7" sqref="A7:G7"/>
    </sheetView>
  </sheetViews>
  <sheetFormatPr defaultColWidth="9" defaultRowHeight="16.5" customHeight="1" x14ac:dyDescent="0.5"/>
  <cols>
    <col min="1" max="1" width="68.17578125" style="8" customWidth="1"/>
    <col min="2" max="2" width="6.46875" style="8" customWidth="1"/>
    <col min="3" max="5" width="9.64453125" style="8" customWidth="1"/>
    <col min="6" max="6" width="7.8203125" style="8" customWidth="1"/>
    <col min="7" max="9" width="8.46875" style="8" customWidth="1"/>
    <col min="10" max="11" width="9" style="8" customWidth="1"/>
    <col min="12" max="12" width="10.17578125" style="8" customWidth="1"/>
    <col min="13" max="13" width="9.64453125" style="8" customWidth="1"/>
    <col min="14" max="40" width="9" style="8"/>
  </cols>
  <sheetData>
    <row r="1" spans="1:13" ht="38.25" customHeight="1" x14ac:dyDescent="0.5">
      <c r="A1" s="106" t="s">
        <v>13</v>
      </c>
      <c r="B1" s="106"/>
      <c r="C1" s="106"/>
      <c r="D1" s="106"/>
      <c r="E1" s="106"/>
      <c r="F1" s="106"/>
      <c r="G1" s="106"/>
      <c r="H1" s="106"/>
      <c r="I1" s="106"/>
      <c r="J1" s="106"/>
      <c r="K1" s="106"/>
      <c r="L1" s="106"/>
      <c r="M1" s="18" t="s">
        <v>14</v>
      </c>
    </row>
    <row r="2" spans="1:13" ht="30" customHeight="1" x14ac:dyDescent="0.5">
      <c r="A2" s="107" t="s">
        <v>163</v>
      </c>
      <c r="B2" s="107" t="s">
        <v>15</v>
      </c>
      <c r="C2" s="107" t="s">
        <v>16</v>
      </c>
      <c r="D2" s="107" t="s">
        <v>17</v>
      </c>
      <c r="E2" s="107" t="s">
        <v>141</v>
      </c>
      <c r="F2" s="107" t="s">
        <v>18</v>
      </c>
      <c r="G2" s="107"/>
      <c r="H2" s="107"/>
      <c r="I2" s="107"/>
      <c r="J2" s="107"/>
      <c r="K2" s="107"/>
      <c r="L2" s="107"/>
      <c r="M2" s="21"/>
    </row>
    <row r="3" spans="1:13" ht="30" customHeight="1" x14ac:dyDescent="0.5">
      <c r="A3" s="107"/>
      <c r="B3" s="107"/>
      <c r="C3" s="107"/>
      <c r="D3" s="107"/>
      <c r="E3" s="107"/>
      <c r="F3" s="11" t="s">
        <v>8</v>
      </c>
      <c r="G3" s="11" t="s">
        <v>0</v>
      </c>
      <c r="H3" s="11" t="s">
        <v>143</v>
      </c>
      <c r="I3" s="11" t="s">
        <v>144</v>
      </c>
      <c r="J3" s="11" t="s">
        <v>145</v>
      </c>
      <c r="K3" s="11" t="s">
        <v>146</v>
      </c>
      <c r="L3" s="11" t="s">
        <v>147</v>
      </c>
      <c r="M3" s="21"/>
    </row>
    <row r="4" spans="1:13" ht="30" customHeight="1" x14ac:dyDescent="0.5">
      <c r="A4" s="12" t="s">
        <v>339</v>
      </c>
      <c r="B4" s="12">
        <v>4</v>
      </c>
      <c r="C4" s="12">
        <v>8</v>
      </c>
      <c r="D4" s="12" t="s">
        <v>19</v>
      </c>
      <c r="E4" s="12"/>
      <c r="F4" s="27">
        <v>125</v>
      </c>
      <c r="G4" s="27">
        <v>846.6</v>
      </c>
      <c r="H4" s="27">
        <v>1570.8</v>
      </c>
      <c r="I4" s="27">
        <v>2203.1999999999998</v>
      </c>
      <c r="J4" s="12">
        <f t="shared" ref="J4:J26" si="0">I4+G4</f>
        <v>3049.7999999999997</v>
      </c>
      <c r="K4" s="12">
        <f t="shared" ref="K4:K26" si="1">I4+H4</f>
        <v>3774</v>
      </c>
      <c r="L4" s="12">
        <f t="shared" ref="L4:L26" si="2">I4*2</f>
        <v>4406.3999999999996</v>
      </c>
      <c r="M4" s="21"/>
    </row>
    <row r="5" spans="1:13" ht="30" customHeight="1" x14ac:dyDescent="0.5">
      <c r="A5" s="12" t="s">
        <v>340</v>
      </c>
      <c r="B5" s="12">
        <v>6</v>
      </c>
      <c r="C5" s="12">
        <v>12</v>
      </c>
      <c r="D5" s="12" t="s">
        <v>19</v>
      </c>
      <c r="E5" s="12"/>
      <c r="F5" s="27">
        <v>160</v>
      </c>
      <c r="G5" s="27">
        <v>971.1</v>
      </c>
      <c r="H5" s="27">
        <v>1801.8</v>
      </c>
      <c r="I5" s="27">
        <v>2527.1999999999998</v>
      </c>
      <c r="J5" s="12">
        <f t="shared" si="0"/>
        <v>3498.2999999999997</v>
      </c>
      <c r="K5" s="12">
        <f t="shared" si="1"/>
        <v>4329</v>
      </c>
      <c r="L5" s="12">
        <f t="shared" si="2"/>
        <v>5054.3999999999996</v>
      </c>
      <c r="M5" s="21"/>
    </row>
    <row r="6" spans="1:13" ht="30" customHeight="1" x14ac:dyDescent="0.5">
      <c r="A6" s="12" t="s">
        <v>341</v>
      </c>
      <c r="B6" s="12">
        <v>8</v>
      </c>
      <c r="C6" s="12">
        <v>16</v>
      </c>
      <c r="D6" s="12" t="s">
        <v>19</v>
      </c>
      <c r="E6" s="12"/>
      <c r="F6" s="27">
        <v>210</v>
      </c>
      <c r="G6" s="27">
        <v>1643.4</v>
      </c>
      <c r="H6" s="27">
        <v>3049.2</v>
      </c>
      <c r="I6" s="27">
        <v>4276.8</v>
      </c>
      <c r="J6" s="12">
        <f t="shared" si="0"/>
        <v>5920.2000000000007</v>
      </c>
      <c r="K6" s="12">
        <f t="shared" si="1"/>
        <v>7326</v>
      </c>
      <c r="L6" s="12">
        <f t="shared" si="2"/>
        <v>8553.6</v>
      </c>
      <c r="M6" s="21"/>
    </row>
    <row r="7" spans="1:13" ht="30" customHeight="1" x14ac:dyDescent="0.5">
      <c r="A7" s="12" t="s">
        <v>342</v>
      </c>
      <c r="B7" s="12">
        <v>16</v>
      </c>
      <c r="C7" s="12">
        <v>32</v>
      </c>
      <c r="D7" s="12"/>
      <c r="E7" s="12"/>
      <c r="F7" s="28">
        <v>700</v>
      </c>
      <c r="G7" s="28">
        <v>4233</v>
      </c>
      <c r="H7" s="28">
        <v>7854</v>
      </c>
      <c r="I7" s="28">
        <v>11016</v>
      </c>
      <c r="J7" s="12">
        <f t="shared" si="0"/>
        <v>15249</v>
      </c>
      <c r="K7" s="12">
        <f t="shared" si="1"/>
        <v>18870</v>
      </c>
      <c r="L7" s="12">
        <f t="shared" si="2"/>
        <v>22032</v>
      </c>
      <c r="M7" s="21"/>
    </row>
    <row r="8" spans="1:13" ht="30" customHeight="1" x14ac:dyDescent="0.5">
      <c r="A8" s="12" t="s">
        <v>9</v>
      </c>
      <c r="B8" s="12">
        <v>4</v>
      </c>
      <c r="C8" s="12">
        <v>8</v>
      </c>
      <c r="D8" s="12" t="s">
        <v>19</v>
      </c>
      <c r="E8" s="12"/>
      <c r="F8" s="27">
        <v>125</v>
      </c>
      <c r="G8" s="27">
        <v>1245</v>
      </c>
      <c r="H8" s="27">
        <v>2310</v>
      </c>
      <c r="I8" s="27">
        <v>3240</v>
      </c>
      <c r="J8" s="12">
        <f t="shared" si="0"/>
        <v>4485</v>
      </c>
      <c r="K8" s="12">
        <f t="shared" si="1"/>
        <v>5550</v>
      </c>
      <c r="L8" s="12">
        <f t="shared" si="2"/>
        <v>6480</v>
      </c>
      <c r="M8" s="21"/>
    </row>
    <row r="9" spans="1:13" ht="30" customHeight="1" x14ac:dyDescent="0.5">
      <c r="A9" s="12" t="s">
        <v>233</v>
      </c>
      <c r="B9" s="12">
        <v>6</v>
      </c>
      <c r="C9" s="12">
        <v>12</v>
      </c>
      <c r="D9" s="12" t="s">
        <v>19</v>
      </c>
      <c r="E9" s="12"/>
      <c r="F9" s="27">
        <v>160</v>
      </c>
      <c r="G9" s="27">
        <v>1593.6</v>
      </c>
      <c r="H9" s="27">
        <v>2956.8</v>
      </c>
      <c r="I9" s="27">
        <v>4147.2</v>
      </c>
      <c r="J9" s="12">
        <f t="shared" si="0"/>
        <v>5740.7999999999993</v>
      </c>
      <c r="K9" s="12">
        <f t="shared" si="1"/>
        <v>7104</v>
      </c>
      <c r="L9" s="12">
        <f t="shared" si="2"/>
        <v>8294.4</v>
      </c>
      <c r="M9" s="21"/>
    </row>
    <row r="10" spans="1:13" ht="30" customHeight="1" x14ac:dyDescent="0.5">
      <c r="A10" s="12" t="s">
        <v>234</v>
      </c>
      <c r="B10" s="12">
        <v>8</v>
      </c>
      <c r="C10" s="12">
        <v>16</v>
      </c>
      <c r="D10" s="12" t="s">
        <v>19</v>
      </c>
      <c r="E10" s="12"/>
      <c r="F10" s="27">
        <v>210</v>
      </c>
      <c r="G10" s="27">
        <v>2091.6</v>
      </c>
      <c r="H10" s="27">
        <v>3880.8</v>
      </c>
      <c r="I10" s="27">
        <v>5443.2</v>
      </c>
      <c r="J10" s="12">
        <f t="shared" si="0"/>
        <v>7534.7999999999993</v>
      </c>
      <c r="K10" s="12">
        <f t="shared" si="1"/>
        <v>9324</v>
      </c>
      <c r="L10" s="12">
        <f t="shared" si="2"/>
        <v>10886.4</v>
      </c>
      <c r="M10" s="21"/>
    </row>
    <row r="11" spans="1:13" ht="30" customHeight="1" x14ac:dyDescent="0.5">
      <c r="A11" s="12" t="s">
        <v>235</v>
      </c>
      <c r="B11" s="12">
        <v>16</v>
      </c>
      <c r="C11" s="12">
        <v>32</v>
      </c>
      <c r="D11" s="12" t="s">
        <v>19</v>
      </c>
      <c r="E11" s="12"/>
      <c r="F11" s="27">
        <v>700</v>
      </c>
      <c r="G11" s="27">
        <v>6972</v>
      </c>
      <c r="H11" s="27">
        <v>12936</v>
      </c>
      <c r="I11" s="27">
        <v>18144</v>
      </c>
      <c r="J11" s="12">
        <f t="shared" si="0"/>
        <v>25116</v>
      </c>
      <c r="K11" s="12">
        <f t="shared" si="1"/>
        <v>31080</v>
      </c>
      <c r="L11" s="12">
        <f t="shared" si="2"/>
        <v>36288</v>
      </c>
      <c r="M11" s="21"/>
    </row>
    <row r="12" spans="1:13" ht="30" customHeight="1" x14ac:dyDescent="0.5">
      <c r="A12" s="12" t="s">
        <v>225</v>
      </c>
      <c r="B12" s="12">
        <v>4</v>
      </c>
      <c r="C12" s="12">
        <v>8</v>
      </c>
      <c r="D12" s="12">
        <v>2</v>
      </c>
      <c r="E12" s="12"/>
      <c r="F12" s="27">
        <v>220</v>
      </c>
      <c r="G12" s="27">
        <v>2191.1999999999998</v>
      </c>
      <c r="H12" s="27">
        <v>4065.6</v>
      </c>
      <c r="I12" s="27">
        <v>5702.4</v>
      </c>
      <c r="J12" s="12">
        <f t="shared" si="0"/>
        <v>7893.5999999999995</v>
      </c>
      <c r="K12" s="12">
        <f t="shared" si="1"/>
        <v>9768</v>
      </c>
      <c r="L12" s="12">
        <f t="shared" si="2"/>
        <v>11404.8</v>
      </c>
      <c r="M12" s="21"/>
    </row>
    <row r="13" spans="1:13" ht="30" customHeight="1" x14ac:dyDescent="0.5">
      <c r="A13" s="12" t="s">
        <v>226</v>
      </c>
      <c r="B13" s="12">
        <v>6</v>
      </c>
      <c r="C13" s="12">
        <v>12</v>
      </c>
      <c r="D13" s="12">
        <v>2</v>
      </c>
      <c r="E13" s="12"/>
      <c r="F13" s="27">
        <v>232.5</v>
      </c>
      <c r="G13" s="27">
        <v>2315.6999999999998</v>
      </c>
      <c r="H13" s="27">
        <v>4296.6000000000004</v>
      </c>
      <c r="I13" s="27">
        <v>6026.4</v>
      </c>
      <c r="J13" s="12">
        <f t="shared" si="0"/>
        <v>8342.0999999999985</v>
      </c>
      <c r="K13" s="12">
        <f t="shared" si="1"/>
        <v>10323</v>
      </c>
      <c r="L13" s="12">
        <f t="shared" si="2"/>
        <v>12052.8</v>
      </c>
      <c r="M13" s="21"/>
    </row>
    <row r="14" spans="1:13" ht="30" customHeight="1" x14ac:dyDescent="0.5">
      <c r="A14" s="12" t="s">
        <v>227</v>
      </c>
      <c r="B14" s="12">
        <v>8</v>
      </c>
      <c r="C14" s="12">
        <v>16</v>
      </c>
      <c r="D14" s="12">
        <v>2</v>
      </c>
      <c r="E14" s="12"/>
      <c r="F14" s="27">
        <v>295</v>
      </c>
      <c r="G14" s="27">
        <v>2938.2</v>
      </c>
      <c r="H14" s="27">
        <v>5451.6</v>
      </c>
      <c r="I14" s="27">
        <v>7646.4</v>
      </c>
      <c r="J14" s="12">
        <f t="shared" si="0"/>
        <v>10584.599999999999</v>
      </c>
      <c r="K14" s="12">
        <f t="shared" si="1"/>
        <v>13098</v>
      </c>
      <c r="L14" s="12">
        <f t="shared" si="2"/>
        <v>15292.8</v>
      </c>
      <c r="M14" s="21"/>
    </row>
    <row r="15" spans="1:13" ht="30" customHeight="1" x14ac:dyDescent="0.5">
      <c r="A15" s="12" t="s">
        <v>228</v>
      </c>
      <c r="B15" s="12">
        <v>8</v>
      </c>
      <c r="C15" s="12">
        <v>16</v>
      </c>
      <c r="D15" s="12">
        <v>4</v>
      </c>
      <c r="E15" s="12"/>
      <c r="F15" s="27">
        <v>380</v>
      </c>
      <c r="G15" s="27">
        <v>3784.8</v>
      </c>
      <c r="H15" s="27">
        <v>7022.4</v>
      </c>
      <c r="I15" s="27">
        <v>9849.6</v>
      </c>
      <c r="J15" s="12">
        <f t="shared" si="0"/>
        <v>13634.400000000001</v>
      </c>
      <c r="K15" s="12">
        <f t="shared" si="1"/>
        <v>16872</v>
      </c>
      <c r="L15" s="12">
        <f t="shared" si="2"/>
        <v>19699.2</v>
      </c>
      <c r="M15" s="21"/>
    </row>
    <row r="16" spans="1:13" ht="30" customHeight="1" x14ac:dyDescent="0.5">
      <c r="A16" s="12" t="s">
        <v>229</v>
      </c>
      <c r="B16" s="12">
        <v>16</v>
      </c>
      <c r="C16" s="12">
        <v>32</v>
      </c>
      <c r="D16" s="12">
        <v>8</v>
      </c>
      <c r="E16" s="12"/>
      <c r="F16" s="27">
        <v>800</v>
      </c>
      <c r="G16" s="27">
        <v>7968</v>
      </c>
      <c r="H16" s="27">
        <v>14784</v>
      </c>
      <c r="I16" s="27">
        <v>20736</v>
      </c>
      <c r="J16" s="12">
        <f t="shared" si="0"/>
        <v>28704</v>
      </c>
      <c r="K16" s="12">
        <f t="shared" si="1"/>
        <v>35520</v>
      </c>
      <c r="L16" s="12">
        <f t="shared" si="2"/>
        <v>41472</v>
      </c>
      <c r="M16" s="21"/>
    </row>
    <row r="17" spans="1:21" ht="30" customHeight="1" x14ac:dyDescent="0.5">
      <c r="A17" s="12" t="s">
        <v>230</v>
      </c>
      <c r="B17" s="12">
        <v>16</v>
      </c>
      <c r="C17" s="12">
        <v>32</v>
      </c>
      <c r="D17" s="12">
        <v>12</v>
      </c>
      <c r="E17" s="12"/>
      <c r="F17" s="27">
        <v>1193.125</v>
      </c>
      <c r="G17" s="27">
        <v>11883.525</v>
      </c>
      <c r="H17" s="27">
        <v>22048.95</v>
      </c>
      <c r="I17" s="27">
        <v>30925.8</v>
      </c>
      <c r="J17" s="12">
        <f t="shared" si="0"/>
        <v>42809.324999999997</v>
      </c>
      <c r="K17" s="12">
        <f t="shared" si="1"/>
        <v>52974.75</v>
      </c>
      <c r="L17" s="12">
        <f t="shared" si="2"/>
        <v>61851.6</v>
      </c>
      <c r="M17" s="21"/>
    </row>
    <row r="18" spans="1:21" ht="30" customHeight="1" x14ac:dyDescent="0.5">
      <c r="A18" s="12" t="s">
        <v>231</v>
      </c>
      <c r="B18" s="12">
        <v>32</v>
      </c>
      <c r="C18" s="12">
        <v>64</v>
      </c>
      <c r="D18" s="12">
        <v>12</v>
      </c>
      <c r="E18" s="12"/>
      <c r="F18" s="27">
        <v>1505.625</v>
      </c>
      <c r="G18" s="27">
        <v>14996.025</v>
      </c>
      <c r="H18" s="27">
        <v>27823.95</v>
      </c>
      <c r="I18" s="27">
        <v>39025.800000000003</v>
      </c>
      <c r="J18" s="12">
        <f t="shared" si="0"/>
        <v>54021.825000000004</v>
      </c>
      <c r="K18" s="12">
        <f t="shared" si="1"/>
        <v>66849.75</v>
      </c>
      <c r="L18" s="12">
        <f t="shared" si="2"/>
        <v>78051.600000000006</v>
      </c>
      <c r="M18" s="21"/>
    </row>
    <row r="19" spans="1:21" ht="30" customHeight="1" x14ac:dyDescent="0.5">
      <c r="A19" s="12" t="s">
        <v>236</v>
      </c>
      <c r="B19" s="12">
        <v>32</v>
      </c>
      <c r="C19" s="12">
        <v>64</v>
      </c>
      <c r="D19" s="12">
        <v>16</v>
      </c>
      <c r="E19" s="12"/>
      <c r="F19" s="27">
        <v>1665</v>
      </c>
      <c r="G19" s="27">
        <v>16583.400000000001</v>
      </c>
      <c r="H19" s="27">
        <v>30769.200000000001</v>
      </c>
      <c r="I19" s="27">
        <v>43156.800000000003</v>
      </c>
      <c r="J19" s="12">
        <f t="shared" si="0"/>
        <v>59740.200000000004</v>
      </c>
      <c r="K19" s="12">
        <f t="shared" si="1"/>
        <v>73926</v>
      </c>
      <c r="L19" s="12">
        <f t="shared" si="2"/>
        <v>86313.600000000006</v>
      </c>
      <c r="M19" s="21"/>
    </row>
    <row r="20" spans="1:21" ht="30" customHeight="1" x14ac:dyDescent="0.5">
      <c r="A20" s="12" t="s">
        <v>237</v>
      </c>
      <c r="B20" s="12">
        <v>32</v>
      </c>
      <c r="C20" s="12">
        <v>64</v>
      </c>
      <c r="D20" s="12">
        <v>24</v>
      </c>
      <c r="E20" s="12"/>
      <c r="F20" s="27">
        <v>2405.625</v>
      </c>
      <c r="G20" s="27">
        <v>23960.025000000001</v>
      </c>
      <c r="H20" s="27">
        <v>44455.95</v>
      </c>
      <c r="I20" s="27">
        <v>62353.8</v>
      </c>
      <c r="J20" s="12">
        <f t="shared" si="0"/>
        <v>86313.825000000012</v>
      </c>
      <c r="K20" s="12">
        <f t="shared" si="1"/>
        <v>106809.75</v>
      </c>
      <c r="L20" s="12">
        <f t="shared" si="2"/>
        <v>124707.6</v>
      </c>
      <c r="M20" s="21"/>
    </row>
    <row r="21" spans="1:21" ht="30" customHeight="1" x14ac:dyDescent="0.5">
      <c r="A21" s="12" t="s">
        <v>238</v>
      </c>
      <c r="B21" s="12">
        <v>64</v>
      </c>
      <c r="C21" s="12">
        <v>128</v>
      </c>
      <c r="D21" s="12">
        <v>24</v>
      </c>
      <c r="E21" s="12"/>
      <c r="F21" s="27">
        <v>3030.625</v>
      </c>
      <c r="G21" s="27">
        <v>30185.025000000001</v>
      </c>
      <c r="H21" s="27">
        <v>56005.95</v>
      </c>
      <c r="I21" s="27">
        <v>78553.8</v>
      </c>
      <c r="J21" s="12">
        <f t="shared" si="0"/>
        <v>108738.82500000001</v>
      </c>
      <c r="K21" s="12">
        <f t="shared" si="1"/>
        <v>134559.75</v>
      </c>
      <c r="L21" s="12">
        <f t="shared" si="2"/>
        <v>157107.6</v>
      </c>
      <c r="M21" s="21"/>
    </row>
    <row r="22" spans="1:21" ht="30" customHeight="1" x14ac:dyDescent="0.5">
      <c r="A22" s="12" t="s">
        <v>232</v>
      </c>
      <c r="B22" s="12">
        <v>32</v>
      </c>
      <c r="C22" s="12">
        <v>64</v>
      </c>
      <c r="D22" s="12">
        <v>48</v>
      </c>
      <c r="E22" s="12"/>
      <c r="F22" s="27">
        <v>3655.625</v>
      </c>
      <c r="G22" s="27">
        <v>36410.025000000001</v>
      </c>
      <c r="H22" s="27">
        <v>67555.95</v>
      </c>
      <c r="I22" s="27">
        <v>94753.8</v>
      </c>
      <c r="J22" s="12">
        <f t="shared" si="0"/>
        <v>131163.82500000001</v>
      </c>
      <c r="K22" s="12">
        <f t="shared" si="1"/>
        <v>162309.75</v>
      </c>
      <c r="L22" s="12">
        <f t="shared" si="2"/>
        <v>189507.6</v>
      </c>
      <c r="M22" s="21"/>
    </row>
    <row r="23" spans="1:21" ht="30" customHeight="1" x14ac:dyDescent="0.5">
      <c r="A23" s="12" t="s">
        <v>239</v>
      </c>
      <c r="B23" s="12">
        <v>64</v>
      </c>
      <c r="C23" s="12">
        <v>128</v>
      </c>
      <c r="D23" s="12">
        <v>48</v>
      </c>
      <c r="E23" s="12"/>
      <c r="F23" s="27">
        <v>4905.625</v>
      </c>
      <c r="G23" s="27">
        <v>48860.025000000001</v>
      </c>
      <c r="H23" s="27">
        <v>90655.95</v>
      </c>
      <c r="I23" s="27">
        <v>127153.8</v>
      </c>
      <c r="J23" s="12">
        <f t="shared" si="0"/>
        <v>176013.82500000001</v>
      </c>
      <c r="K23" s="12">
        <f t="shared" si="1"/>
        <v>217809.75</v>
      </c>
      <c r="L23" s="12">
        <f t="shared" si="2"/>
        <v>254307.6</v>
      </c>
      <c r="M23" s="21"/>
    </row>
    <row r="24" spans="1:21" ht="30" customHeight="1" x14ac:dyDescent="0.5">
      <c r="A24" s="12" t="s">
        <v>240</v>
      </c>
      <c r="B24" s="12">
        <v>64</v>
      </c>
      <c r="C24" s="12">
        <v>256</v>
      </c>
      <c r="D24" s="12">
        <v>48</v>
      </c>
      <c r="E24" s="12"/>
      <c r="F24" s="27">
        <v>6155.625</v>
      </c>
      <c r="G24" s="27">
        <v>61310.025000000001</v>
      </c>
      <c r="H24" s="27">
        <v>113755.95</v>
      </c>
      <c r="I24" s="27">
        <v>159553.79999999999</v>
      </c>
      <c r="J24" s="12">
        <f t="shared" si="0"/>
        <v>220863.82499999998</v>
      </c>
      <c r="K24" s="12">
        <f t="shared" si="1"/>
        <v>273309.75</v>
      </c>
      <c r="L24" s="12">
        <f t="shared" si="2"/>
        <v>319107.59999999998</v>
      </c>
      <c r="M24" s="21"/>
    </row>
    <row r="25" spans="1:21" ht="30" customHeight="1" x14ac:dyDescent="0.5">
      <c r="A25" s="12" t="s">
        <v>241</v>
      </c>
      <c r="B25" s="12">
        <v>64</v>
      </c>
      <c r="C25" s="12">
        <v>256</v>
      </c>
      <c r="D25" s="12">
        <v>96</v>
      </c>
      <c r="E25" s="12"/>
      <c r="F25" s="27">
        <v>9280.625</v>
      </c>
      <c r="G25" s="27">
        <v>92435.024999999994</v>
      </c>
      <c r="H25" s="27">
        <v>171505.95</v>
      </c>
      <c r="I25" s="27">
        <v>240553.8</v>
      </c>
      <c r="J25" s="12">
        <f t="shared" si="0"/>
        <v>332988.82499999995</v>
      </c>
      <c r="K25" s="12">
        <f t="shared" si="1"/>
        <v>412059.75</v>
      </c>
      <c r="L25" s="12">
        <f t="shared" si="2"/>
        <v>481107.6</v>
      </c>
      <c r="M25" s="21"/>
    </row>
    <row r="26" spans="1:21" ht="30" customHeight="1" x14ac:dyDescent="0.5">
      <c r="A26" s="12" t="s">
        <v>242</v>
      </c>
      <c r="B26" s="12">
        <v>96</v>
      </c>
      <c r="C26" s="12">
        <v>384</v>
      </c>
      <c r="D26" s="12">
        <v>192</v>
      </c>
      <c r="E26" s="12"/>
      <c r="F26" s="27">
        <v>18030.625</v>
      </c>
      <c r="G26" s="27">
        <v>179585.02499999999</v>
      </c>
      <c r="H26" s="27">
        <v>333205.95</v>
      </c>
      <c r="I26" s="27">
        <v>467353.8</v>
      </c>
      <c r="J26" s="12">
        <f t="shared" si="0"/>
        <v>646938.82499999995</v>
      </c>
      <c r="K26" s="12">
        <f t="shared" si="1"/>
        <v>800559.75</v>
      </c>
      <c r="L26" s="12">
        <f t="shared" si="2"/>
        <v>934707.6</v>
      </c>
      <c r="M26" s="21"/>
    </row>
    <row r="27" spans="1:21" ht="30" customHeight="1" x14ac:dyDescent="0.5">
      <c r="A27" s="107" t="s">
        <v>193</v>
      </c>
      <c r="B27" s="107" t="s">
        <v>15</v>
      </c>
      <c r="C27" s="107" t="s">
        <v>16</v>
      </c>
      <c r="D27" s="107" t="s">
        <v>17</v>
      </c>
      <c r="E27" s="107" t="s">
        <v>141</v>
      </c>
      <c r="F27" s="107" t="s">
        <v>162</v>
      </c>
      <c r="G27" s="107"/>
      <c r="H27" s="107"/>
      <c r="I27" s="107"/>
      <c r="J27" s="107"/>
      <c r="K27" s="107"/>
      <c r="L27" s="107"/>
      <c r="M27" s="21"/>
    </row>
    <row r="28" spans="1:21" ht="30" customHeight="1" x14ac:dyDescent="0.5">
      <c r="A28" s="107"/>
      <c r="B28" s="107"/>
      <c r="C28" s="107"/>
      <c r="D28" s="107"/>
      <c r="E28" s="107"/>
      <c r="F28" s="11" t="s">
        <v>8</v>
      </c>
      <c r="G28" s="11" t="s">
        <v>0</v>
      </c>
      <c r="H28" s="11" t="s">
        <v>143</v>
      </c>
      <c r="I28" s="11" t="s">
        <v>144</v>
      </c>
      <c r="J28" s="11" t="s">
        <v>145</v>
      </c>
      <c r="K28" s="11" t="s">
        <v>146</v>
      </c>
      <c r="L28" s="11" t="s">
        <v>147</v>
      </c>
      <c r="M28" s="21"/>
    </row>
    <row r="29" spans="1:21" s="9" customFormat="1" ht="30" customHeight="1" x14ac:dyDescent="0.5">
      <c r="A29" s="12" t="s">
        <v>10</v>
      </c>
      <c r="B29" s="3"/>
      <c r="C29" s="3"/>
      <c r="D29" s="3"/>
      <c r="E29" s="3">
        <v>100</v>
      </c>
      <c r="F29" s="27">
        <v>25</v>
      </c>
      <c r="G29" s="27">
        <v>249</v>
      </c>
      <c r="H29" s="27">
        <v>462</v>
      </c>
      <c r="I29" s="27">
        <v>648</v>
      </c>
      <c r="J29" s="3">
        <f>I29+G29</f>
        <v>897</v>
      </c>
      <c r="K29" s="3">
        <f>I29+H29</f>
        <v>1110</v>
      </c>
      <c r="L29" s="12">
        <f>I29*2</f>
        <v>1296</v>
      </c>
      <c r="M29" s="21"/>
      <c r="N29" s="8"/>
      <c r="O29" s="8"/>
      <c r="P29" s="8"/>
      <c r="Q29" s="8"/>
      <c r="R29" s="8"/>
      <c r="S29" s="8"/>
      <c r="T29" s="8"/>
      <c r="U29" s="8"/>
    </row>
    <row r="30" spans="1:21" ht="30" customHeight="1" x14ac:dyDescent="0.5">
      <c r="A30" s="107" t="s">
        <v>194</v>
      </c>
      <c r="B30" s="107" t="s">
        <v>15</v>
      </c>
      <c r="C30" s="107" t="s">
        <v>16</v>
      </c>
      <c r="D30" s="107" t="s">
        <v>17</v>
      </c>
      <c r="E30" s="107" t="s">
        <v>195</v>
      </c>
      <c r="F30" s="107" t="s">
        <v>196</v>
      </c>
      <c r="G30" s="107"/>
      <c r="H30" s="107"/>
      <c r="I30" s="107"/>
      <c r="J30" s="107"/>
      <c r="K30" s="107"/>
      <c r="L30" s="107"/>
      <c r="M30" s="21"/>
    </row>
    <row r="31" spans="1:21" ht="30" customHeight="1" x14ac:dyDescent="0.5">
      <c r="A31" s="107"/>
      <c r="B31" s="107"/>
      <c r="C31" s="107"/>
      <c r="D31" s="107"/>
      <c r="E31" s="107"/>
      <c r="F31" s="11" t="s">
        <v>8</v>
      </c>
      <c r="G31" s="11" t="s">
        <v>0</v>
      </c>
      <c r="H31" s="11" t="s">
        <v>143</v>
      </c>
      <c r="I31" s="11" t="s">
        <v>144</v>
      </c>
      <c r="J31" s="11" t="s">
        <v>145</v>
      </c>
      <c r="K31" s="11" t="s">
        <v>146</v>
      </c>
      <c r="L31" s="11" t="s">
        <v>147</v>
      </c>
      <c r="M31" s="21"/>
    </row>
    <row r="32" spans="1:21" s="9" customFormat="1" ht="30" customHeight="1" x14ac:dyDescent="0.5">
      <c r="A32" s="12" t="s">
        <v>12</v>
      </c>
      <c r="B32" s="3">
        <v>0</v>
      </c>
      <c r="C32" s="3">
        <v>0</v>
      </c>
      <c r="D32" s="3">
        <v>0</v>
      </c>
      <c r="E32" s="3">
        <v>1</v>
      </c>
      <c r="F32" s="24">
        <v>20</v>
      </c>
      <c r="G32" s="24">
        <f>F32*12</f>
        <v>240</v>
      </c>
      <c r="H32" s="24">
        <f>G32*2</f>
        <v>480</v>
      </c>
      <c r="I32" s="24">
        <f>G32*3</f>
        <v>720</v>
      </c>
      <c r="J32" s="3">
        <f>I32+G32</f>
        <v>960</v>
      </c>
      <c r="K32" s="3">
        <f>I32+H32</f>
        <v>1200</v>
      </c>
      <c r="L32" s="12">
        <f>I32*2</f>
        <v>1440</v>
      </c>
      <c r="M32" s="21"/>
      <c r="N32" s="8"/>
      <c r="O32" s="8"/>
      <c r="P32" s="8"/>
      <c r="Q32" s="8"/>
      <c r="R32" s="8"/>
      <c r="S32" s="8"/>
      <c r="T32" s="8"/>
      <c r="U32" s="8"/>
    </row>
  </sheetData>
  <mergeCells count="19">
    <mergeCell ref="B27:B28"/>
    <mergeCell ref="C27:C28"/>
    <mergeCell ref="E30:E31"/>
    <mergeCell ref="A1:L1"/>
    <mergeCell ref="F2:L2"/>
    <mergeCell ref="F27:L27"/>
    <mergeCell ref="F30:L30"/>
    <mergeCell ref="A2:A3"/>
    <mergeCell ref="D30:D31"/>
    <mergeCell ref="E2:E3"/>
    <mergeCell ref="C30:C31"/>
    <mergeCell ref="B2:B3"/>
    <mergeCell ref="A27:A28"/>
    <mergeCell ref="C2:C3"/>
    <mergeCell ref="A30:A31"/>
    <mergeCell ref="E27:E28"/>
    <mergeCell ref="D2:D3"/>
    <mergeCell ref="B30:B31"/>
    <mergeCell ref="D27:D28"/>
  </mergeCells>
  <phoneticPr fontId="16" type="noConversion"/>
  <hyperlinks>
    <hyperlink ref="M1" location="'B0-list价格索引'!A1" display="返回 索引表" xr:uid="{00000000-0004-0000-19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N19"/>
  <sheetViews>
    <sheetView topLeftCell="B10" workbookViewId="0">
      <selection activeCell="E13" sqref="E13"/>
    </sheetView>
  </sheetViews>
  <sheetFormatPr defaultColWidth="9" defaultRowHeight="50" customHeight="1" x14ac:dyDescent="0.5"/>
  <cols>
    <col min="1" max="1" width="8.41015625" customWidth="1"/>
    <col min="2" max="2" width="46.76171875" customWidth="1"/>
    <col min="3" max="3" width="24.64453125" customWidth="1"/>
    <col min="4" max="4" width="10.41015625" bestFit="1" customWidth="1"/>
    <col min="5" max="5" width="9.17578125" style="8" bestFit="1" customWidth="1"/>
    <col min="6" max="6" width="6.703125" bestFit="1" customWidth="1"/>
    <col min="7" max="7" width="9.41015625" bestFit="1" customWidth="1"/>
    <col min="8" max="8" width="6.703125" bestFit="1" customWidth="1"/>
    <col min="9" max="9" width="9.41015625" bestFit="1" customWidth="1"/>
    <col min="10" max="10" width="6.703125" bestFit="1" customWidth="1"/>
    <col min="11" max="11" width="9.41015625" bestFit="1" customWidth="1"/>
    <col min="12" max="12" width="6.703125" bestFit="1" customWidth="1"/>
    <col min="13" max="13" width="9.41015625" bestFit="1" customWidth="1"/>
    <col min="14" max="14" width="6.703125" bestFit="1" customWidth="1"/>
  </cols>
  <sheetData>
    <row r="1" spans="1:14" ht="50" customHeight="1" x14ac:dyDescent="0.4">
      <c r="E1" s="97" t="s">
        <v>343</v>
      </c>
      <c r="F1" s="98"/>
      <c r="G1" s="90" t="s">
        <v>344</v>
      </c>
      <c r="H1" s="91"/>
      <c r="I1" s="92" t="s">
        <v>345</v>
      </c>
      <c r="J1" s="93"/>
      <c r="K1" s="90" t="s">
        <v>344</v>
      </c>
      <c r="L1" s="91"/>
      <c r="M1" s="92" t="s">
        <v>345</v>
      </c>
      <c r="N1" s="93"/>
    </row>
    <row r="2" spans="1:14" ht="50" customHeight="1" x14ac:dyDescent="0.4">
      <c r="A2" t="s">
        <v>245</v>
      </c>
      <c r="B2" t="s">
        <v>246</v>
      </c>
      <c r="C2" t="s">
        <v>247</v>
      </c>
      <c r="D2" s="65" t="s">
        <v>346</v>
      </c>
      <c r="E2" s="65" t="s">
        <v>348</v>
      </c>
      <c r="F2" s="66" t="s">
        <v>347</v>
      </c>
      <c r="G2" s="69" t="s">
        <v>348</v>
      </c>
      <c r="H2" s="70" t="s">
        <v>347</v>
      </c>
      <c r="I2" s="71" t="s">
        <v>348</v>
      </c>
      <c r="J2" s="72" t="s">
        <v>347</v>
      </c>
      <c r="K2" s="69" t="s">
        <v>348</v>
      </c>
      <c r="L2" s="70" t="s">
        <v>347</v>
      </c>
      <c r="M2" s="71" t="s">
        <v>348</v>
      </c>
      <c r="N2" s="72" t="s">
        <v>347</v>
      </c>
    </row>
    <row r="3" spans="1:14" ht="50" customHeight="1" x14ac:dyDescent="0.4">
      <c r="A3" t="s">
        <v>248</v>
      </c>
      <c r="B3" s="30" t="s">
        <v>249</v>
      </c>
      <c r="C3" t="s">
        <v>243</v>
      </c>
      <c r="D3" s="67">
        <v>147</v>
      </c>
      <c r="E3" s="68">
        <v>61.3</v>
      </c>
      <c r="F3" s="75">
        <f>E3/D3</f>
        <v>0.41700680272108842</v>
      </c>
      <c r="G3" s="73">
        <f>D3*H3</f>
        <v>66.150000000000006</v>
      </c>
      <c r="H3" s="75">
        <v>0.45</v>
      </c>
      <c r="I3" s="74">
        <f>J3*D3</f>
        <v>95.55</v>
      </c>
      <c r="J3" s="75">
        <v>0.65</v>
      </c>
      <c r="K3" s="73">
        <f>H3*L3</f>
        <v>0.20250000000000001</v>
      </c>
      <c r="L3" s="75">
        <v>0.45</v>
      </c>
      <c r="M3" s="74">
        <f>N3*H3</f>
        <v>0.29250000000000004</v>
      </c>
      <c r="N3" s="75">
        <v>0.65</v>
      </c>
    </row>
    <row r="4" spans="1:14" ht="50" customHeight="1" x14ac:dyDescent="0.4">
      <c r="A4" t="s">
        <v>248</v>
      </c>
      <c r="B4" s="30" t="s">
        <v>249</v>
      </c>
      <c r="C4" t="s">
        <v>250</v>
      </c>
      <c r="D4" s="67">
        <v>217</v>
      </c>
      <c r="E4" s="68">
        <v>106.8</v>
      </c>
      <c r="F4" s="75">
        <f t="shared" ref="F4:F8" si="0">E4/D4</f>
        <v>0.49216589861751153</v>
      </c>
      <c r="G4" s="73">
        <f t="shared" ref="G4:G8" si="1">D4*H4</f>
        <v>119.35000000000001</v>
      </c>
      <c r="H4" s="75">
        <v>0.55000000000000004</v>
      </c>
      <c r="I4" s="74">
        <f t="shared" ref="I4:I8" si="2">J4*D4</f>
        <v>151.89999999999998</v>
      </c>
      <c r="J4" s="75">
        <v>0.7</v>
      </c>
      <c r="K4" s="73">
        <f t="shared" ref="K4:K8" si="3">H4*L4</f>
        <v>0.30250000000000005</v>
      </c>
      <c r="L4" s="75">
        <v>0.55000000000000004</v>
      </c>
      <c r="M4" s="74">
        <f t="shared" ref="M4:M8" si="4">N4*H4</f>
        <v>0.38500000000000001</v>
      </c>
      <c r="N4" s="75">
        <v>0.7</v>
      </c>
    </row>
    <row r="5" spans="1:14" ht="50" customHeight="1" x14ac:dyDescent="0.4">
      <c r="A5" t="s">
        <v>248</v>
      </c>
      <c r="B5" s="30" t="s">
        <v>249</v>
      </c>
      <c r="C5" t="s">
        <v>251</v>
      </c>
      <c r="D5" s="67">
        <v>337</v>
      </c>
      <c r="E5" s="68">
        <v>184.8</v>
      </c>
      <c r="F5" s="75">
        <f t="shared" si="0"/>
        <v>0.54836795252225523</v>
      </c>
      <c r="G5" s="73">
        <f t="shared" si="1"/>
        <v>202.2</v>
      </c>
      <c r="H5" s="75">
        <v>0.6</v>
      </c>
      <c r="I5" s="74">
        <f t="shared" si="2"/>
        <v>252.75</v>
      </c>
      <c r="J5" s="75">
        <v>0.75</v>
      </c>
      <c r="K5" s="73">
        <f t="shared" si="3"/>
        <v>0.36</v>
      </c>
      <c r="L5" s="75">
        <v>0.6</v>
      </c>
      <c r="M5" s="74">
        <f t="shared" si="4"/>
        <v>0.44999999999999996</v>
      </c>
      <c r="N5" s="75">
        <v>0.75</v>
      </c>
    </row>
    <row r="6" spans="1:14" ht="50" customHeight="1" x14ac:dyDescent="0.4">
      <c r="A6" t="s">
        <v>252</v>
      </c>
      <c r="B6" s="30" t="s">
        <v>253</v>
      </c>
      <c r="C6" t="s">
        <v>244</v>
      </c>
      <c r="D6" s="67">
        <v>100</v>
      </c>
      <c r="E6" s="68">
        <v>65</v>
      </c>
      <c r="F6" s="75">
        <f t="shared" si="0"/>
        <v>0.65</v>
      </c>
      <c r="G6" s="73">
        <f t="shared" si="1"/>
        <v>75</v>
      </c>
      <c r="H6" s="75">
        <v>0.75</v>
      </c>
      <c r="I6" s="74">
        <f t="shared" si="2"/>
        <v>95</v>
      </c>
      <c r="J6" s="75">
        <v>0.95</v>
      </c>
      <c r="K6" s="73">
        <f t="shared" si="3"/>
        <v>0.5625</v>
      </c>
      <c r="L6" s="75">
        <v>0.75</v>
      </c>
      <c r="M6" s="74">
        <f t="shared" si="4"/>
        <v>0.71249999999999991</v>
      </c>
      <c r="N6" s="75">
        <v>0.95</v>
      </c>
    </row>
    <row r="7" spans="1:14" ht="50" customHeight="1" x14ac:dyDescent="0.4">
      <c r="A7" t="s">
        <v>252</v>
      </c>
      <c r="B7" s="30" t="s">
        <v>253</v>
      </c>
      <c r="C7" t="s">
        <v>254</v>
      </c>
      <c r="D7" s="67">
        <v>1000</v>
      </c>
      <c r="E7" s="68">
        <v>650</v>
      </c>
      <c r="F7" s="75">
        <f t="shared" si="0"/>
        <v>0.65</v>
      </c>
      <c r="G7" s="73">
        <f t="shared" si="1"/>
        <v>750</v>
      </c>
      <c r="H7" s="75">
        <v>0.75</v>
      </c>
      <c r="I7" s="74">
        <f t="shared" si="2"/>
        <v>950</v>
      </c>
      <c r="J7" s="75">
        <v>0.95</v>
      </c>
      <c r="K7" s="73">
        <f t="shared" si="3"/>
        <v>0.5625</v>
      </c>
      <c r="L7" s="75">
        <v>0.75</v>
      </c>
      <c r="M7" s="74">
        <f t="shared" si="4"/>
        <v>0.71249999999999991</v>
      </c>
      <c r="N7" s="75">
        <v>0.95</v>
      </c>
    </row>
    <row r="8" spans="1:14" ht="50" customHeight="1" x14ac:dyDescent="0.4">
      <c r="A8" t="s">
        <v>252</v>
      </c>
      <c r="B8" s="30" t="s">
        <v>253</v>
      </c>
      <c r="C8" t="s">
        <v>255</v>
      </c>
      <c r="D8" s="67">
        <v>5000</v>
      </c>
      <c r="E8" s="68">
        <v>3250</v>
      </c>
      <c r="F8" s="75">
        <f t="shared" si="0"/>
        <v>0.65</v>
      </c>
      <c r="G8" s="73">
        <f t="shared" si="1"/>
        <v>3750</v>
      </c>
      <c r="H8" s="75">
        <v>0.75</v>
      </c>
      <c r="I8" s="74">
        <f t="shared" si="2"/>
        <v>4750</v>
      </c>
      <c r="J8" s="75">
        <v>0.95</v>
      </c>
      <c r="K8" s="73">
        <f t="shared" si="3"/>
        <v>0.5625</v>
      </c>
      <c r="L8" s="75">
        <v>0.75</v>
      </c>
      <c r="M8" s="74">
        <f t="shared" si="4"/>
        <v>0.71249999999999991</v>
      </c>
      <c r="N8" s="75">
        <v>0.95</v>
      </c>
    </row>
    <row r="9" spans="1:14" ht="50" customHeight="1" x14ac:dyDescent="0.4">
      <c r="E9" s="64"/>
    </row>
    <row r="10" spans="1:14" ht="50" customHeight="1" x14ac:dyDescent="0.4">
      <c r="E10" s="97" t="s">
        <v>343</v>
      </c>
      <c r="F10" s="98"/>
      <c r="G10" s="99" t="s">
        <v>344</v>
      </c>
      <c r="H10" s="100"/>
      <c r="I10" s="101" t="s">
        <v>345</v>
      </c>
      <c r="J10" s="102"/>
      <c r="K10" s="92" t="s">
        <v>349</v>
      </c>
      <c r="L10" s="94"/>
      <c r="M10" s="95" t="s">
        <v>350</v>
      </c>
      <c r="N10" s="96"/>
    </row>
    <row r="11" spans="1:14" ht="50" customHeight="1" x14ac:dyDescent="0.4">
      <c r="A11" t="s">
        <v>245</v>
      </c>
      <c r="B11" t="s">
        <v>246</v>
      </c>
      <c r="C11" s="89" t="s">
        <v>247</v>
      </c>
      <c r="D11" s="65" t="s">
        <v>346</v>
      </c>
      <c r="E11" s="65" t="s">
        <v>348</v>
      </c>
      <c r="F11" s="66" t="s">
        <v>347</v>
      </c>
      <c r="G11" s="76" t="s">
        <v>348</v>
      </c>
      <c r="H11" s="77" t="s">
        <v>347</v>
      </c>
      <c r="I11" s="80" t="s">
        <v>348</v>
      </c>
      <c r="J11" s="81" t="s">
        <v>347</v>
      </c>
      <c r="K11" s="71" t="s">
        <v>348</v>
      </c>
      <c r="L11" s="72" t="s">
        <v>347</v>
      </c>
      <c r="M11" s="85" t="s">
        <v>348</v>
      </c>
      <c r="N11" s="86" t="s">
        <v>347</v>
      </c>
    </row>
    <row r="12" spans="1:14" ht="50" customHeight="1" x14ac:dyDescent="0.4">
      <c r="A12" t="s">
        <v>248</v>
      </c>
      <c r="B12" s="30" t="s">
        <v>249</v>
      </c>
      <c r="C12" s="89" t="s">
        <v>243</v>
      </c>
      <c r="D12" s="67">
        <v>147</v>
      </c>
      <c r="E12" s="68">
        <v>61.3</v>
      </c>
      <c r="F12" s="75">
        <f>E12/D12</f>
        <v>0.41700680272108842</v>
      </c>
      <c r="G12" s="78">
        <f>D12*H12</f>
        <v>66.150000000000006</v>
      </c>
      <c r="H12" s="79">
        <v>0.45</v>
      </c>
      <c r="I12" s="82">
        <f>J12*D12</f>
        <v>80.850000000000009</v>
      </c>
      <c r="J12" s="83">
        <v>0.55000000000000004</v>
      </c>
      <c r="K12" s="74">
        <f>D12*L12</f>
        <v>88.2</v>
      </c>
      <c r="L12" s="84">
        <v>0.6</v>
      </c>
      <c r="M12" s="87">
        <f>N12*D12</f>
        <v>117.60000000000001</v>
      </c>
      <c r="N12" s="88">
        <v>0.8</v>
      </c>
    </row>
    <row r="13" spans="1:14" ht="50" customHeight="1" x14ac:dyDescent="0.4">
      <c r="A13" t="s">
        <v>248</v>
      </c>
      <c r="B13" s="30" t="s">
        <v>249</v>
      </c>
      <c r="C13" s="89" t="s">
        <v>250</v>
      </c>
      <c r="D13" s="67">
        <v>217</v>
      </c>
      <c r="E13" s="68">
        <v>106.8</v>
      </c>
      <c r="F13" s="75">
        <f t="shared" ref="F13:F17" si="5">E13/D13</f>
        <v>0.49216589861751153</v>
      </c>
      <c r="G13" s="78">
        <f t="shared" ref="G13:G17" si="6">D13*H13</f>
        <v>119.35000000000001</v>
      </c>
      <c r="H13" s="79">
        <v>0.55000000000000004</v>
      </c>
      <c r="I13" s="82">
        <f t="shared" ref="I13:I17" si="7">J13*D13</f>
        <v>141.05000000000001</v>
      </c>
      <c r="J13" s="83">
        <v>0.65</v>
      </c>
      <c r="K13" s="74">
        <f t="shared" ref="K13:K17" si="8">D13*L13</f>
        <v>151.89999999999998</v>
      </c>
      <c r="L13" s="84">
        <v>0.7</v>
      </c>
      <c r="M13" s="87">
        <f t="shared" ref="M13:M17" si="9">N13*D13</f>
        <v>195.3</v>
      </c>
      <c r="N13" s="88">
        <v>0.9</v>
      </c>
    </row>
    <row r="14" spans="1:14" ht="50" customHeight="1" x14ac:dyDescent="0.4">
      <c r="A14" t="s">
        <v>248</v>
      </c>
      <c r="B14" s="30" t="s">
        <v>249</v>
      </c>
      <c r="C14" s="89" t="s">
        <v>251</v>
      </c>
      <c r="D14" s="67">
        <v>337</v>
      </c>
      <c r="E14" s="68">
        <v>184.8</v>
      </c>
      <c r="F14" s="75">
        <f t="shared" si="5"/>
        <v>0.54836795252225523</v>
      </c>
      <c r="G14" s="78">
        <f t="shared" si="6"/>
        <v>202.2</v>
      </c>
      <c r="H14" s="79">
        <v>0.6</v>
      </c>
      <c r="I14" s="82">
        <f t="shared" si="7"/>
        <v>252.75</v>
      </c>
      <c r="J14" s="83">
        <v>0.75</v>
      </c>
      <c r="K14" s="74">
        <f t="shared" si="8"/>
        <v>269.60000000000002</v>
      </c>
      <c r="L14" s="84">
        <v>0.8</v>
      </c>
      <c r="M14" s="87">
        <f t="shared" si="9"/>
        <v>303.3</v>
      </c>
      <c r="N14" s="88">
        <v>0.9</v>
      </c>
    </row>
    <row r="15" spans="1:14" ht="50" customHeight="1" x14ac:dyDescent="0.4">
      <c r="A15" t="s">
        <v>252</v>
      </c>
      <c r="B15" s="30" t="s">
        <v>253</v>
      </c>
      <c r="C15" s="89" t="s">
        <v>244</v>
      </c>
      <c r="D15" s="67">
        <v>100</v>
      </c>
      <c r="E15" s="68">
        <v>65</v>
      </c>
      <c r="F15" s="75">
        <f t="shared" si="5"/>
        <v>0.65</v>
      </c>
      <c r="G15" s="78">
        <f t="shared" si="6"/>
        <v>70</v>
      </c>
      <c r="H15" s="79">
        <v>0.7</v>
      </c>
      <c r="I15" s="82">
        <f t="shared" si="7"/>
        <v>75</v>
      </c>
      <c r="J15" s="83">
        <v>0.75</v>
      </c>
      <c r="K15" s="74">
        <f t="shared" si="8"/>
        <v>80</v>
      </c>
      <c r="L15" s="84">
        <v>0.8</v>
      </c>
      <c r="M15" s="87">
        <f t="shared" si="9"/>
        <v>90</v>
      </c>
      <c r="N15" s="88">
        <v>0.9</v>
      </c>
    </row>
    <row r="16" spans="1:14" ht="50" customHeight="1" x14ac:dyDescent="0.4">
      <c r="A16" t="s">
        <v>252</v>
      </c>
      <c r="B16" s="30" t="s">
        <v>253</v>
      </c>
      <c r="C16" s="89" t="s">
        <v>254</v>
      </c>
      <c r="D16" s="67">
        <v>1000</v>
      </c>
      <c r="E16" s="68">
        <v>650</v>
      </c>
      <c r="F16" s="75">
        <f t="shared" si="5"/>
        <v>0.65</v>
      </c>
      <c r="G16" s="78">
        <f t="shared" si="6"/>
        <v>700</v>
      </c>
      <c r="H16" s="79">
        <v>0.7</v>
      </c>
      <c r="I16" s="82">
        <f t="shared" si="7"/>
        <v>750</v>
      </c>
      <c r="J16" s="83">
        <v>0.75</v>
      </c>
      <c r="K16" s="74">
        <f t="shared" si="8"/>
        <v>800</v>
      </c>
      <c r="L16" s="84">
        <v>0.8</v>
      </c>
      <c r="M16" s="87">
        <f t="shared" si="9"/>
        <v>900</v>
      </c>
      <c r="N16" s="88">
        <v>0.9</v>
      </c>
    </row>
    <row r="17" spans="1:14" ht="50" customHeight="1" x14ac:dyDescent="0.4">
      <c r="A17" t="s">
        <v>252</v>
      </c>
      <c r="B17" s="30" t="s">
        <v>253</v>
      </c>
      <c r="C17" s="89" t="s">
        <v>255</v>
      </c>
      <c r="D17" s="67">
        <v>5000</v>
      </c>
      <c r="E17" s="68">
        <v>3250</v>
      </c>
      <c r="F17" s="75">
        <f t="shared" si="5"/>
        <v>0.65</v>
      </c>
      <c r="G17" s="78">
        <f t="shared" si="6"/>
        <v>3500</v>
      </c>
      <c r="H17" s="79">
        <v>0.7</v>
      </c>
      <c r="I17" s="82">
        <f t="shared" si="7"/>
        <v>3750</v>
      </c>
      <c r="J17" s="83">
        <v>0.75</v>
      </c>
      <c r="K17" s="74">
        <f t="shared" si="8"/>
        <v>4000</v>
      </c>
      <c r="L17" s="84">
        <v>0.8</v>
      </c>
      <c r="M17" s="87">
        <f t="shared" si="9"/>
        <v>4500</v>
      </c>
      <c r="N17" s="88">
        <v>0.9</v>
      </c>
    </row>
    <row r="19" spans="1:14" ht="50" customHeight="1" x14ac:dyDescent="0.4">
      <c r="E19" s="64" t="e">
        <f t="shared" ref="E19" si="10">#REF!*$Q$4</f>
        <v>#REF!</v>
      </c>
    </row>
  </sheetData>
  <mergeCells count="10">
    <mergeCell ref="K1:L1"/>
    <mergeCell ref="M1:N1"/>
    <mergeCell ref="K10:L10"/>
    <mergeCell ref="M10:N10"/>
    <mergeCell ref="E1:F1"/>
    <mergeCell ref="G1:H1"/>
    <mergeCell ref="I1:J1"/>
    <mergeCell ref="E10:F10"/>
    <mergeCell ref="G10:H10"/>
    <mergeCell ref="I10:J10"/>
  </mergeCells>
  <phoneticPr fontId="16"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I3"/>
  <sheetViews>
    <sheetView showGridLines="0" workbookViewId="0">
      <selection activeCell="C9" sqref="C9"/>
    </sheetView>
  </sheetViews>
  <sheetFormatPr defaultColWidth="9" defaultRowHeight="14.25" customHeight="1" x14ac:dyDescent="0.4"/>
  <cols>
    <col min="1" max="1" width="25.87890625" style="1" bestFit="1" customWidth="1"/>
    <col min="2" max="2" width="11.29296875" style="1" bestFit="1" customWidth="1"/>
    <col min="3" max="3" width="13.52734375" style="1" bestFit="1" customWidth="1"/>
    <col min="4" max="4" width="8.64453125" style="1" bestFit="1" customWidth="1"/>
    <col min="5" max="5" width="3.8203125" style="1" bestFit="1" customWidth="1"/>
    <col min="6" max="6" width="17.1171875" style="1" bestFit="1" customWidth="1"/>
    <col min="7" max="7" width="2.234375" style="1" bestFit="1" customWidth="1"/>
    <col min="8" max="8" width="50.3515625" style="1" customWidth="1"/>
  </cols>
  <sheetData>
    <row r="1" spans="1:9" ht="50.1" customHeight="1" x14ac:dyDescent="0.4">
      <c r="A1" s="103" t="s">
        <v>31</v>
      </c>
      <c r="B1" s="104"/>
      <c r="C1" s="104"/>
      <c r="D1" s="104"/>
      <c r="E1" s="104"/>
      <c r="F1" s="104"/>
      <c r="G1" s="104"/>
      <c r="H1" s="105"/>
      <c r="I1" s="10" t="s">
        <v>14</v>
      </c>
    </row>
    <row r="2" spans="1:9" s="31" customFormat="1" ht="122.25" customHeight="1" x14ac:dyDescent="0.4">
      <c r="A2" s="42" t="s">
        <v>256</v>
      </c>
      <c r="B2" s="42" t="s">
        <v>257</v>
      </c>
      <c r="C2" s="35" t="s">
        <v>34</v>
      </c>
      <c r="D2" s="35" t="s">
        <v>35</v>
      </c>
      <c r="E2" s="43">
        <v>0</v>
      </c>
      <c r="F2" s="43" t="s">
        <v>19</v>
      </c>
      <c r="G2" s="43" t="s">
        <v>19</v>
      </c>
      <c r="H2" s="44" t="s">
        <v>312</v>
      </c>
    </row>
    <row r="3" spans="1:9" s="32" customFormat="1" ht="82.5" customHeight="1" x14ac:dyDescent="0.4">
      <c r="A3" s="35" t="s">
        <v>36</v>
      </c>
      <c r="B3" s="35" t="s">
        <v>37</v>
      </c>
      <c r="C3" s="35" t="s">
        <v>38</v>
      </c>
      <c r="D3" s="35" t="s">
        <v>35</v>
      </c>
      <c r="E3" s="35">
        <v>20</v>
      </c>
      <c r="F3" s="35" t="s">
        <v>39</v>
      </c>
      <c r="G3" s="43">
        <v>1</v>
      </c>
      <c r="H3" s="45" t="s">
        <v>313</v>
      </c>
    </row>
  </sheetData>
  <mergeCells count="1">
    <mergeCell ref="A1:H1"/>
  </mergeCells>
  <phoneticPr fontId="16" type="noConversion"/>
  <hyperlinks>
    <hyperlink ref="I1" location="'B0-list价格索引'!A1" display="返回 索引表" xr:uid="{00000000-0004-0000-22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#REF!</xm:f>
          </x14:formula1>
          <xm:sqref>G3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D34"/>
  <sheetViews>
    <sheetView tabSelected="1" workbookViewId="0">
      <selection activeCell="G24" sqref="G24"/>
    </sheetView>
  </sheetViews>
  <sheetFormatPr defaultColWidth="9" defaultRowHeight="14.25" customHeight="1" x14ac:dyDescent="0.4"/>
  <cols>
    <col min="1" max="1" width="22.46875" style="1" customWidth="1"/>
    <col min="2" max="2" width="19.17578125" style="1" customWidth="1"/>
  </cols>
  <sheetData>
    <row r="1" spans="1:4" ht="14.25" customHeight="1" x14ac:dyDescent="0.4">
      <c r="A1" s="1" t="s">
        <v>273</v>
      </c>
      <c r="B1" s="1" t="s">
        <v>268</v>
      </c>
    </row>
    <row r="2" spans="1:4" ht="14.25" customHeight="1" x14ac:dyDescent="0.4">
      <c r="A2" s="1" t="s">
        <v>274</v>
      </c>
      <c r="B2" s="1" t="s">
        <v>268</v>
      </c>
    </row>
    <row r="3" spans="1:4" ht="14.25" customHeight="1" x14ac:dyDescent="0.4">
      <c r="A3" s="1" t="s">
        <v>275</v>
      </c>
      <c r="B3" s="1" t="s">
        <v>269</v>
      </c>
    </row>
    <row r="4" spans="1:4" ht="14.25" customHeight="1" x14ac:dyDescent="0.4">
      <c r="A4" s="1" t="s">
        <v>276</v>
      </c>
      <c r="B4" s="1" t="s">
        <v>271</v>
      </c>
      <c r="D4" s="1" t="s">
        <v>258</v>
      </c>
    </row>
    <row r="5" spans="1:4" ht="14.25" customHeight="1" x14ac:dyDescent="0.4">
      <c r="A5" s="1" t="s">
        <v>277</v>
      </c>
      <c r="B5" s="1" t="s">
        <v>268</v>
      </c>
      <c r="D5" s="1" t="s">
        <v>259</v>
      </c>
    </row>
    <row r="6" spans="1:4" ht="14.25" customHeight="1" x14ac:dyDescent="0.4">
      <c r="A6" s="1" t="s">
        <v>278</v>
      </c>
      <c r="B6" s="1" t="s">
        <v>268</v>
      </c>
      <c r="D6" s="1" t="s">
        <v>260</v>
      </c>
    </row>
    <row r="7" spans="1:4" ht="14.25" customHeight="1" x14ac:dyDescent="0.4">
      <c r="A7" s="1" t="s">
        <v>279</v>
      </c>
      <c r="B7" s="1" t="s">
        <v>268</v>
      </c>
      <c r="D7" s="1" t="s">
        <v>261</v>
      </c>
    </row>
    <row r="8" spans="1:4" ht="14.25" customHeight="1" x14ac:dyDescent="0.4">
      <c r="A8" s="1" t="s">
        <v>280</v>
      </c>
      <c r="B8" s="1" t="s">
        <v>268</v>
      </c>
      <c r="D8" s="1" t="s">
        <v>262</v>
      </c>
    </row>
    <row r="9" spans="1:4" ht="14.25" customHeight="1" x14ac:dyDescent="0.4">
      <c r="A9" s="1" t="s">
        <v>281</v>
      </c>
      <c r="B9" s="1" t="s">
        <v>268</v>
      </c>
      <c r="D9" s="1" t="s">
        <v>263</v>
      </c>
    </row>
    <row r="10" spans="1:4" ht="14.25" customHeight="1" x14ac:dyDescent="0.4">
      <c r="A10" s="1" t="s">
        <v>282</v>
      </c>
      <c r="B10" s="1" t="s">
        <v>269</v>
      </c>
      <c r="D10" s="1" t="s">
        <v>264</v>
      </c>
    </row>
    <row r="11" spans="1:4" ht="14.25" customHeight="1" x14ac:dyDescent="0.4">
      <c r="A11" s="1" t="s">
        <v>283</v>
      </c>
      <c r="B11" s="1" t="s">
        <v>269</v>
      </c>
      <c r="D11" s="1" t="s">
        <v>265</v>
      </c>
    </row>
    <row r="12" spans="1:4" ht="14.25" customHeight="1" x14ac:dyDescent="0.4">
      <c r="A12" s="1" t="s">
        <v>284</v>
      </c>
      <c r="B12" s="1" t="s">
        <v>269</v>
      </c>
      <c r="D12" s="1" t="s">
        <v>266</v>
      </c>
    </row>
    <row r="13" spans="1:4" ht="14.25" customHeight="1" x14ac:dyDescent="0.4">
      <c r="A13" s="1" t="s">
        <v>285</v>
      </c>
      <c r="B13" s="1" t="s">
        <v>270</v>
      </c>
      <c r="D13" s="1" t="s">
        <v>267</v>
      </c>
    </row>
    <row r="14" spans="1:4" ht="14.25" customHeight="1" x14ac:dyDescent="0.4">
      <c r="A14" s="1" t="s">
        <v>286</v>
      </c>
      <c r="B14" s="1" t="s">
        <v>269</v>
      </c>
    </row>
    <row r="15" spans="1:4" ht="14.25" customHeight="1" x14ac:dyDescent="0.4">
      <c r="A15" s="1" t="s">
        <v>287</v>
      </c>
      <c r="B15" s="1" t="s">
        <v>268</v>
      </c>
    </row>
    <row r="16" spans="1:4" ht="14.25" customHeight="1" x14ac:dyDescent="0.4">
      <c r="A16" s="1" t="s">
        <v>288</v>
      </c>
      <c r="B16" s="1" t="s">
        <v>268</v>
      </c>
    </row>
    <row r="17" spans="1:2" ht="14.25" customHeight="1" x14ac:dyDescent="0.4">
      <c r="A17" s="1" t="s">
        <v>289</v>
      </c>
      <c r="B17" s="1" t="s">
        <v>269</v>
      </c>
    </row>
    <row r="18" spans="1:2" ht="14.25" customHeight="1" x14ac:dyDescent="0.4">
      <c r="A18" s="1" t="s">
        <v>290</v>
      </c>
      <c r="B18" s="1" t="s">
        <v>269</v>
      </c>
    </row>
    <row r="19" spans="1:2" ht="14.25" customHeight="1" x14ac:dyDescent="0.4">
      <c r="A19" s="1" t="s">
        <v>291</v>
      </c>
      <c r="B19" s="1" t="s">
        <v>270</v>
      </c>
    </row>
    <row r="20" spans="1:2" ht="14.25" customHeight="1" x14ac:dyDescent="0.4">
      <c r="A20" s="1" t="s">
        <v>292</v>
      </c>
      <c r="B20" s="1" t="s">
        <v>270</v>
      </c>
    </row>
    <row r="21" spans="1:2" ht="14.25" customHeight="1" x14ac:dyDescent="0.4">
      <c r="A21" s="1" t="s">
        <v>293</v>
      </c>
      <c r="B21" s="1" t="s">
        <v>271</v>
      </c>
    </row>
    <row r="22" spans="1:2" ht="14.25" customHeight="1" x14ac:dyDescent="0.4">
      <c r="A22" s="1" t="s">
        <v>294</v>
      </c>
      <c r="B22" s="1" t="s">
        <v>271</v>
      </c>
    </row>
    <row r="23" spans="1:2" ht="14.25" customHeight="1" x14ac:dyDescent="0.4">
      <c r="A23" s="1" t="s">
        <v>295</v>
      </c>
      <c r="B23" s="1" t="s">
        <v>271</v>
      </c>
    </row>
    <row r="24" spans="1:2" ht="14.25" customHeight="1" x14ac:dyDescent="0.4">
      <c r="A24" s="1" t="s">
        <v>296</v>
      </c>
      <c r="B24" s="1" t="s">
        <v>268</v>
      </c>
    </row>
    <row r="25" spans="1:2" ht="14.25" customHeight="1" x14ac:dyDescent="0.4">
      <c r="A25" s="1" t="s">
        <v>297</v>
      </c>
      <c r="B25" s="1" t="s">
        <v>268</v>
      </c>
    </row>
    <row r="26" spans="1:2" ht="14.25" customHeight="1" x14ac:dyDescent="0.4">
      <c r="A26" s="1" t="s">
        <v>298</v>
      </c>
      <c r="B26" s="1" t="s">
        <v>268</v>
      </c>
    </row>
    <row r="27" spans="1:2" ht="14.25" customHeight="1" x14ac:dyDescent="0.4">
      <c r="A27" s="1" t="s">
        <v>299</v>
      </c>
      <c r="B27" s="1" t="s">
        <v>305</v>
      </c>
    </row>
    <row r="28" spans="1:2" ht="14.25" customHeight="1" x14ac:dyDescent="0.4">
      <c r="A28" s="1" t="s">
        <v>306</v>
      </c>
      <c r="B28" s="1" t="s">
        <v>305</v>
      </c>
    </row>
    <row r="29" spans="1:2" ht="14.25" customHeight="1" x14ac:dyDescent="0.4">
      <c r="A29" s="1" t="s">
        <v>300</v>
      </c>
      <c r="B29" s="1" t="s">
        <v>268</v>
      </c>
    </row>
    <row r="30" spans="1:2" ht="14.25" customHeight="1" x14ac:dyDescent="0.4">
      <c r="A30" s="1" t="s">
        <v>301</v>
      </c>
      <c r="B30" s="1" t="s">
        <v>270</v>
      </c>
    </row>
    <row r="31" spans="1:2" ht="14.25" customHeight="1" x14ac:dyDescent="0.4">
      <c r="A31" s="1" t="s">
        <v>302</v>
      </c>
      <c r="B31" s="1" t="s">
        <v>268</v>
      </c>
    </row>
    <row r="32" spans="1:2" ht="14.25" customHeight="1" x14ac:dyDescent="0.4">
      <c r="A32" s="1" t="s">
        <v>303</v>
      </c>
      <c r="B32" s="1" t="s">
        <v>268</v>
      </c>
    </row>
    <row r="33" spans="1:2" ht="14.25" customHeight="1" x14ac:dyDescent="0.4">
      <c r="A33" s="1" t="s">
        <v>304</v>
      </c>
      <c r="B33" s="1" t="s">
        <v>268</v>
      </c>
    </row>
    <row r="34" spans="1:2" ht="14.25" customHeight="1" x14ac:dyDescent="0.4">
      <c r="A34" s="1" t="s">
        <v>307</v>
      </c>
      <c r="B34" s="1" t="s">
        <v>272</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B2-磁盘规格list价格（必选项）</vt:lpstr>
      <vt:lpstr>B3-带宽规格list价格（可选项）</vt:lpstr>
      <vt:lpstr>B4-流量包list价格（可选项）</vt:lpstr>
      <vt:lpstr>B5-AD Connector的list价格（可选项）</vt:lpstr>
      <vt:lpstr>B6-企业网盘list价格（可选项）</vt:lpstr>
      <vt:lpstr>B7-核时包list价格（可选项）</vt:lpstr>
      <vt:lpstr>C0-终端描述汇总</vt:lpstr>
      <vt:lpstr>D1教育办公</vt:lpstr>
      <vt:lpstr>D21国内120小时</vt:lpstr>
      <vt:lpstr>D21国内不限时长-办公1小时休眠</vt:lpstr>
      <vt:lpstr>D22国内图形200小时</vt:lpstr>
      <vt:lpstr>D22国内不限时长(1小时休眠)</vt:lpstr>
      <vt:lpstr>D23国内不限时长</vt:lpstr>
      <vt:lpstr>E贾维斯</vt:lpstr>
      <vt:lpstr>D2-带宽规格list价格（可选项） </vt:lpstr>
      <vt:lpstr>F4-省份列表-商业版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Haibo Xiang</cp:lastModifiedBy>
  <dcterms:created xsi:type="dcterms:W3CDTF">2006-09-15T16:00:00Z</dcterms:created>
  <dcterms:modified xsi:type="dcterms:W3CDTF">2026-06-24T08:32:35Z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CE4423B304A44241892874B51AA34CD9_13</vt:lpwstr>
  </property>
  <property fmtid="{D5CDD505-2E9C-101B-9397-08002B2CF9AE}" pid="4" name="KSOProductBuildVer">
    <vt:lpwstr>2052-12.1.0.26375</vt:lpwstr>
  </property>
</Properties>
</file>